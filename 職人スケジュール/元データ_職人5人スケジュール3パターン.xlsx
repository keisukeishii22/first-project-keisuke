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①シンプル型" sheetId="1" r:id="rId4"/>
    <sheet state="visible" name="② 空き自動表示型" sheetId="2" r:id="rId5"/>
    <sheet state="visible" name="②ダッシュボード" sheetId="3" r:id="rId6"/>
    <sheet state="visible" name="③ 経営・受注先行型" sheetId="4" r:id="rId7"/>
    <sheet state="visible" name="③ 経営ダッシュボード" sheetId="5" r:id="rId8"/>
  </sheets>
  <definedNames>
    <definedName hidden="1" localSheetId="0" name="_xlnm._FilterDatabase">'①シンプル型'!$A$4:$CF$9</definedName>
  </definedNames>
  <calcPr/>
  <extLst>
    <ext uri="GoogleSheetsCustomDataVersion2">
      <go:sheetsCustomData xmlns:go="http://customooxmlschemas.google.com/" r:id="rId9" roundtripDataChecksum="RxyW57giU3S61NG5asJY3wauT4gaM8W6Cs+hj2yktF8="/>
    </ext>
  </extLst>
</workbook>
</file>

<file path=xl/sharedStrings.xml><?xml version="1.0" encoding="utf-8"?>
<sst xmlns="http://schemas.openxmlformats.org/spreadsheetml/2006/main" count="184" uniqueCount="80">
  <si>
    <t>③ 経営用・3か月先の職人キャパシティ把握</t>
  </si>
  <si>
    <t>② 職人の空き・次案件 自動把握型</t>
  </si>
  <si>
    <t>② 職人稼働ダッシュボード</t>
  </si>
  <si>
    <t>現在案件＋確定案件＋受注見込みを並べ、「いつ職人が空くか」「次の受注が必要か」を判断するモデル。</t>
  </si>
  <si>
    <t>入力シートの開始日・終了日から、現在案件／次案件／空き期間を把握するためのモデルです。</t>
  </si>
  <si>
    <t>① シンプル現場管理型（5人の職人スケジュール）</t>
  </si>
  <si>
    <t>職人</t>
  </si>
  <si>
    <t>案件区分</t>
  </si>
  <si>
    <t>物件名</t>
  </si>
  <si>
    <t>工程</t>
  </si>
  <si>
    <t>現在の案件</t>
  </si>
  <si>
    <t>開始日</t>
  </si>
  <si>
    <t>終了予定日</t>
  </si>
  <si>
    <t>終了予定</t>
  </si>
  <si>
    <t>進捗</t>
  </si>
  <si>
    <t>優先度</t>
  </si>
  <si>
    <t>次案件</t>
  </si>
  <si>
    <t>備考</t>
  </si>
  <si>
    <t>次回開始</t>
  </si>
  <si>
    <t>日付は「物件・工程入力」から自動反映する想定です。黄色＝空き、青＝予定。</t>
  </si>
  <si>
    <t>使い方</t>
  </si>
  <si>
    <t>空き日数</t>
  </si>
  <si>
    <t>確度</t>
  </si>
  <si>
    <t>受注予定額</t>
  </si>
  <si>
    <t>大工A</t>
  </si>
  <si>
    <t>施工中</t>
  </si>
  <si>
    <t>A様邸</t>
  </si>
  <si>
    <t>木工事</t>
  </si>
  <si>
    <t>確定</t>
  </si>
  <si>
    <t>B様邸</t>
  </si>
  <si>
    <t>高</t>
  </si>
  <si>
    <t>上棟済</t>
  </si>
  <si>
    <t>1. 物件名を入力</t>
  </si>
  <si>
    <t>見込み</t>
  </si>
  <si>
    <t>K様邸</t>
  </si>
  <si>
    <t>80%</t>
  </si>
  <si>
    <t>現在の物件</t>
  </si>
  <si>
    <t>見積提出中</t>
  </si>
  <si>
    <t>予定</t>
  </si>
  <si>
    <t>C様邸</t>
  </si>
  <si>
    <t>大工B</t>
  </si>
  <si>
    <t>2. 職人を選択</t>
  </si>
  <si>
    <t>D様邸</t>
  </si>
  <si>
    <t>次の物件</t>
  </si>
  <si>
    <t>3. 開始日・終了日を入力</t>
  </si>
  <si>
    <t>L様邸</t>
  </si>
  <si>
    <t>60%</t>
  </si>
  <si>
    <t>商談中</t>
  </si>
  <si>
    <t>E様邸</t>
  </si>
  <si>
    <t>中</t>
  </si>
  <si>
    <t>大工C</t>
  </si>
  <si>
    <t>4. 進捗を選択</t>
  </si>
  <si>
    <t>F様邸</t>
  </si>
  <si>
    <t>5. ダッシュボードで確認</t>
  </si>
  <si>
    <t>M様邸</t>
  </si>
  <si>
    <t>70%</t>
  </si>
  <si>
    <t>G様邸</t>
  </si>
  <si>
    <t>大工D</t>
  </si>
  <si>
    <t>H様邸</t>
  </si>
  <si>
    <t>N様邸</t>
  </si>
  <si>
    <t>I様邸</t>
  </si>
  <si>
    <t>大工E</t>
  </si>
  <si>
    <t>50%</t>
  </si>
  <si>
    <t>J様邸</t>
  </si>
  <si>
    <t>O様邸</t>
  </si>
  <si>
    <t>多田</t>
  </si>
  <si>
    <t>一条（菅野様邸）</t>
  </si>
  <si>
    <t>⚠️ 空き日数が7日以上なら「次案件の確保」を検討</t>
  </si>
  <si>
    <t>松田</t>
  </si>
  <si>
    <t>③ 経営ダッシュボード</t>
  </si>
  <si>
    <t>重田</t>
  </si>
  <si>
    <t>次の空き</t>
  </si>
  <si>
    <t>三栄港運（潮見）</t>
  </si>
  <si>
    <t>次案件開始</t>
  </si>
  <si>
    <t>10月稼働</t>
  </si>
  <si>
    <t>要注意</t>
  </si>
  <si>
    <t>原田</t>
  </si>
  <si>
    <t>垣内邸</t>
  </si>
  <si>
    <t>経営判断のポイント：黄色の「次案件確認」が出た職人は、営業・見積・受注予定を前倒しで確認。</t>
  </si>
  <si>
    <t>田中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</si>
</sst>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/m/d"/>
    <numFmt numFmtId="165" formatCode="m/d"/>
    <numFmt numFmtId="166" formatCode="yyyy-mm-dd"/>
  </numFmts>
  <fonts count="6">
    <font>
      <sz val="11.0"/>
      <color theme="1"/>
      <name val="Calibri"/>
      <scheme val="minor"/>
    </font>
    <font>
      <b/>
      <sz val="16.0"/>
      <color theme="1"/>
      <name val="Calibri"/>
      <scheme val="minor"/>
    </font>
    <font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  <font>
      <b/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</fills>
  <borders count="3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Border="1" applyFill="1" applyFont="1"/>
    <xf borderId="2" fillId="2" fontId="3" numFmtId="0" xfId="0" applyBorder="1" applyFont="1"/>
    <xf borderId="1" fillId="0" fontId="4" numFmtId="0" xfId="0" applyBorder="1" applyFont="1"/>
    <xf borderId="1" fillId="0" fontId="4" numFmtId="0" xfId="0" applyAlignment="1" applyBorder="1" applyFont="1">
      <alignment horizontal="center"/>
    </xf>
    <xf borderId="1" fillId="0" fontId="4" numFmtId="164" xfId="0" applyBorder="1" applyFont="1" applyNumberFormat="1"/>
    <xf borderId="1" fillId="2" fontId="3" numFmtId="0" xfId="0" applyAlignment="1" applyBorder="1" applyFont="1">
      <alignment horizontal="center"/>
    </xf>
    <xf borderId="1" fillId="2" fontId="3" numFmtId="0" xfId="0" applyAlignment="1" applyBorder="1" applyFont="1">
      <alignment horizontal="center" readingOrder="0"/>
    </xf>
    <xf borderId="1" fillId="2" fontId="3" numFmtId="165" xfId="0" applyAlignment="1" applyBorder="1" applyFont="1" applyNumberFormat="1">
      <alignment horizontal="center"/>
    </xf>
    <xf borderId="1" fillId="0" fontId="4" numFmtId="164" xfId="0" applyAlignment="1" applyBorder="1" applyFont="1" applyNumberFormat="1">
      <alignment horizontal="center"/>
    </xf>
    <xf borderId="1" fillId="0" fontId="4" numFmtId="0" xfId="0" applyAlignment="1" applyBorder="1" applyFont="1">
      <alignment horizontal="center" readingOrder="0" vertical="center"/>
    </xf>
    <xf borderId="1" fillId="0" fontId="4" numFmtId="166" xfId="0" applyAlignment="1" applyBorder="1" applyFont="1" applyNumberFormat="1">
      <alignment horizontal="center" readingOrder="0" vertical="center"/>
    </xf>
    <xf borderId="1" fillId="0" fontId="4" numFmtId="0" xfId="0" applyAlignment="1" applyBorder="1" applyFont="1">
      <alignment horizontal="center" vertical="center"/>
    </xf>
    <xf borderId="1" fillId="0" fontId="4" numFmtId="166" xfId="0" applyAlignment="1" applyBorder="1" applyFont="1" applyNumberFormat="1">
      <alignment horizontal="center" vertical="center"/>
    </xf>
    <xf borderId="1" fillId="3" fontId="4" numFmtId="0" xfId="0" applyAlignment="1" applyBorder="1" applyFill="1" applyFont="1">
      <alignment horizontal="center" vertical="center"/>
    </xf>
    <xf borderId="0" fillId="0" fontId="5" numFmtId="0" xfId="0" applyFont="1"/>
  </cellXfs>
  <cellStyles count="1">
    <cellStyle xfId="0" name="Normal" builtinId="0"/>
  </cellStyles>
  <dxfs count="2">
    <dxf>
      <font/>
      <fill>
        <patternFill patternType="solid">
          <fgColor rgb="FF6FA8DC"/>
          <bgColor rgb="FF6FA8D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7.0" ySplit="4.0" topLeftCell="H5" activePane="bottomRight" state="frozen"/>
      <selection activeCell="H1" sqref="H1" pane="topRight"/>
      <selection activeCell="A5" sqref="A5" pane="bottomLeft"/>
      <selection activeCell="H5" sqref="H5" pane="bottomRight"/>
    </sheetView>
  </sheetViews>
  <sheetFormatPr customHeight="1" defaultColWidth="14.43" defaultRowHeight="15.0"/>
  <cols>
    <col customWidth="1" min="1" max="1" width="12.0"/>
    <col customWidth="1" min="2" max="2" width="22.29"/>
    <col customWidth="1" min="3" max="4" width="12.0"/>
    <col customWidth="1" min="5" max="5" width="18.29"/>
    <col customWidth="1" min="6" max="6" width="12.0"/>
    <col customWidth="1" min="7" max="7" width="10.0"/>
    <col customWidth="1" min="8" max="8" width="9.14"/>
    <col customWidth="1" min="9" max="16" width="8.43"/>
    <col customWidth="1" min="17" max="292" width="8.86"/>
  </cols>
  <sheetData>
    <row r="1">
      <c r="A1" s="1" t="s">
        <v>5</v>
      </c>
    </row>
    <row r="2">
      <c r="A2" s="2" t="s">
        <v>19</v>
      </c>
    </row>
    <row r="4">
      <c r="A4" s="8" t="s">
        <v>6</v>
      </c>
      <c r="B4" s="8" t="s">
        <v>36</v>
      </c>
      <c r="C4" s="9" t="s">
        <v>11</v>
      </c>
      <c r="D4" s="8" t="s">
        <v>13</v>
      </c>
      <c r="E4" s="8" t="s">
        <v>43</v>
      </c>
      <c r="F4" s="8" t="s">
        <v>18</v>
      </c>
      <c r="G4" s="8" t="s">
        <v>21</v>
      </c>
      <c r="H4" s="10">
        <v>46258.0</v>
      </c>
      <c r="I4" s="10">
        <v>46259.0</v>
      </c>
      <c r="J4" s="10">
        <v>46260.0</v>
      </c>
      <c r="K4" s="10">
        <v>46261.0</v>
      </c>
      <c r="L4" s="10">
        <v>46262.0</v>
      </c>
      <c r="M4" s="10">
        <v>46263.0</v>
      </c>
      <c r="N4" s="10">
        <v>46264.0</v>
      </c>
      <c r="O4" s="10">
        <v>46265.0</v>
      </c>
      <c r="P4" s="10">
        <v>46266.0</v>
      </c>
      <c r="Q4" s="10">
        <v>46267.0</v>
      </c>
      <c r="R4" s="10">
        <v>46268.0</v>
      </c>
      <c r="S4" s="10">
        <v>46269.0</v>
      </c>
      <c r="T4" s="10">
        <v>46270.0</v>
      </c>
      <c r="U4" s="10">
        <v>46271.0</v>
      </c>
      <c r="V4" s="10">
        <v>46272.0</v>
      </c>
      <c r="W4" s="10">
        <v>46273.0</v>
      </c>
      <c r="X4" s="10">
        <v>46274.0</v>
      </c>
      <c r="Y4" s="10">
        <v>46275.0</v>
      </c>
      <c r="Z4" s="10">
        <v>46276.0</v>
      </c>
      <c r="AA4" s="10">
        <v>46277.0</v>
      </c>
      <c r="AB4" s="10">
        <v>46278.0</v>
      </c>
      <c r="AC4" s="10">
        <v>46279.0</v>
      </c>
      <c r="AD4" s="10">
        <v>46280.0</v>
      </c>
      <c r="AE4" s="10">
        <v>46281.0</v>
      </c>
      <c r="AF4" s="10">
        <v>46282.0</v>
      </c>
      <c r="AG4" s="10">
        <v>46283.0</v>
      </c>
      <c r="AH4" s="10">
        <v>46284.0</v>
      </c>
      <c r="AI4" s="10">
        <v>46285.0</v>
      </c>
      <c r="AJ4" s="10">
        <v>46286.0</v>
      </c>
      <c r="AK4" s="10">
        <v>46287.0</v>
      </c>
      <c r="AL4" s="10">
        <v>46288.0</v>
      </c>
      <c r="AM4" s="10">
        <v>46289.0</v>
      </c>
      <c r="AN4" s="10">
        <v>46290.0</v>
      </c>
      <c r="AO4" s="10">
        <v>46291.0</v>
      </c>
      <c r="AP4" s="10">
        <v>46292.0</v>
      </c>
      <c r="AQ4" s="10">
        <v>46293.0</v>
      </c>
      <c r="AR4" s="10">
        <v>46294.0</v>
      </c>
      <c r="AS4" s="10">
        <v>46295.0</v>
      </c>
      <c r="AT4" s="10">
        <v>46296.0</v>
      </c>
      <c r="AU4" s="10">
        <v>46297.0</v>
      </c>
      <c r="AV4" s="10">
        <v>46298.0</v>
      </c>
      <c r="AW4" s="10">
        <v>46299.0</v>
      </c>
      <c r="AX4" s="10">
        <v>46300.0</v>
      </c>
      <c r="AY4" s="10">
        <v>46301.0</v>
      </c>
      <c r="AZ4" s="10">
        <v>46302.0</v>
      </c>
      <c r="BA4" s="10">
        <v>46303.0</v>
      </c>
      <c r="BB4" s="10">
        <v>46304.0</v>
      </c>
      <c r="BC4" s="10">
        <v>46305.0</v>
      </c>
      <c r="BD4" s="10">
        <v>46306.0</v>
      </c>
      <c r="BE4" s="10">
        <v>46307.0</v>
      </c>
      <c r="BF4" s="10">
        <v>46308.0</v>
      </c>
      <c r="BG4" s="10">
        <v>46309.0</v>
      </c>
      <c r="BH4" s="10">
        <v>46310.0</v>
      </c>
      <c r="BI4" s="10">
        <v>46311.0</v>
      </c>
      <c r="BJ4" s="10">
        <v>46312.0</v>
      </c>
      <c r="BK4" s="10">
        <v>46313.0</v>
      </c>
      <c r="BL4" s="10">
        <v>46314.0</v>
      </c>
      <c r="BM4" s="10">
        <v>46315.0</v>
      </c>
      <c r="BN4" s="10">
        <v>46316.0</v>
      </c>
      <c r="BO4" s="10">
        <v>46317.0</v>
      </c>
      <c r="BP4" s="10">
        <v>46318.0</v>
      </c>
      <c r="BQ4" s="10">
        <v>46319.0</v>
      </c>
      <c r="BR4" s="10">
        <v>46320.0</v>
      </c>
      <c r="BS4" s="10">
        <v>46321.0</v>
      </c>
      <c r="BT4" s="10">
        <v>46322.0</v>
      </c>
      <c r="BU4" s="10">
        <v>46323.0</v>
      </c>
      <c r="BV4" s="10">
        <v>46324.0</v>
      </c>
      <c r="BW4" s="10">
        <v>46325.0</v>
      </c>
      <c r="BX4" s="10">
        <v>46326.0</v>
      </c>
      <c r="BY4" s="10">
        <v>46327.0</v>
      </c>
      <c r="BZ4" s="10">
        <v>46328.0</v>
      </c>
      <c r="CA4" s="10">
        <v>46329.0</v>
      </c>
      <c r="CB4" s="10">
        <v>46330.0</v>
      </c>
      <c r="CC4" s="10">
        <v>46331.0</v>
      </c>
      <c r="CD4" s="10">
        <v>46332.0</v>
      </c>
      <c r="CE4" s="10">
        <v>46333.0</v>
      </c>
      <c r="CF4" s="10">
        <v>46334.0</v>
      </c>
      <c r="CG4" s="10">
        <v>46335.0</v>
      </c>
      <c r="CH4" s="10">
        <v>46336.0</v>
      </c>
      <c r="CI4" s="10">
        <v>46337.0</v>
      </c>
      <c r="CJ4" s="10">
        <v>46338.0</v>
      </c>
      <c r="CK4" s="10">
        <v>46339.0</v>
      </c>
      <c r="CL4" s="10">
        <v>46340.0</v>
      </c>
      <c r="CM4" s="10">
        <v>46341.0</v>
      </c>
      <c r="CN4" s="10">
        <v>46342.0</v>
      </c>
      <c r="CO4" s="10">
        <v>46343.0</v>
      </c>
      <c r="CP4" s="10">
        <v>46344.0</v>
      </c>
      <c r="CQ4" s="10">
        <v>46345.0</v>
      </c>
      <c r="CR4" s="10">
        <v>46346.0</v>
      </c>
      <c r="CS4" s="10">
        <v>46347.0</v>
      </c>
      <c r="CT4" s="10">
        <v>46348.0</v>
      </c>
      <c r="CU4" s="10">
        <v>46349.0</v>
      </c>
      <c r="CV4" s="10">
        <v>46350.0</v>
      </c>
      <c r="CW4" s="10">
        <v>46351.0</v>
      </c>
      <c r="CX4" s="10">
        <v>46352.0</v>
      </c>
      <c r="CY4" s="10">
        <v>46353.0</v>
      </c>
      <c r="CZ4" s="10">
        <v>46354.0</v>
      </c>
      <c r="DA4" s="10">
        <v>46355.0</v>
      </c>
      <c r="DB4" s="10">
        <v>46356.0</v>
      </c>
      <c r="DC4" s="10">
        <v>46357.0</v>
      </c>
      <c r="DD4" s="10">
        <v>46358.0</v>
      </c>
      <c r="DE4" s="10">
        <v>46359.0</v>
      </c>
      <c r="DF4" s="10">
        <v>46360.0</v>
      </c>
      <c r="DG4" s="10">
        <v>46361.0</v>
      </c>
      <c r="DH4" s="10">
        <v>46362.0</v>
      </c>
      <c r="DI4" s="10">
        <v>46363.0</v>
      </c>
      <c r="DJ4" s="10">
        <v>46364.0</v>
      </c>
      <c r="DK4" s="10">
        <v>46365.0</v>
      </c>
      <c r="DL4" s="10">
        <v>46366.0</v>
      </c>
      <c r="DM4" s="10">
        <v>46367.0</v>
      </c>
      <c r="DN4" s="10">
        <v>46368.0</v>
      </c>
      <c r="DO4" s="10">
        <v>46369.0</v>
      </c>
      <c r="DP4" s="10">
        <v>46370.0</v>
      </c>
      <c r="DQ4" s="10">
        <v>46371.0</v>
      </c>
      <c r="DR4" s="10">
        <v>46372.0</v>
      </c>
      <c r="DS4" s="10">
        <v>46373.0</v>
      </c>
      <c r="DT4" s="10">
        <v>46374.0</v>
      </c>
      <c r="DU4" s="10">
        <v>46375.0</v>
      </c>
      <c r="DV4" s="10">
        <v>46376.0</v>
      </c>
      <c r="DW4" s="10">
        <v>46377.0</v>
      </c>
      <c r="DX4" s="10">
        <v>46378.0</v>
      </c>
      <c r="DY4" s="10">
        <v>46379.0</v>
      </c>
      <c r="DZ4" s="10">
        <v>46380.0</v>
      </c>
      <c r="EA4" s="10">
        <v>46381.0</v>
      </c>
      <c r="EB4" s="10">
        <v>46382.0</v>
      </c>
      <c r="EC4" s="10">
        <v>46383.0</v>
      </c>
      <c r="ED4" s="10">
        <v>46384.0</v>
      </c>
      <c r="EE4" s="10">
        <v>46385.0</v>
      </c>
      <c r="EF4" s="10">
        <v>46386.0</v>
      </c>
      <c r="EG4" s="10">
        <v>46387.0</v>
      </c>
      <c r="EH4" s="10">
        <v>46388.0</v>
      </c>
      <c r="EI4" s="10">
        <v>46389.0</v>
      </c>
      <c r="EJ4" s="10">
        <v>46390.0</v>
      </c>
      <c r="EK4" s="10">
        <v>46391.0</v>
      </c>
      <c r="EL4" s="10">
        <v>46392.0</v>
      </c>
      <c r="EM4" s="10">
        <v>46393.0</v>
      </c>
      <c r="EN4" s="10">
        <v>46394.0</v>
      </c>
      <c r="EO4" s="10">
        <v>46395.0</v>
      </c>
      <c r="EP4" s="10">
        <v>46396.0</v>
      </c>
      <c r="EQ4" s="10">
        <v>46397.0</v>
      </c>
      <c r="ER4" s="10">
        <v>46398.0</v>
      </c>
      <c r="ES4" s="10">
        <v>46399.0</v>
      </c>
      <c r="ET4" s="10">
        <v>46400.0</v>
      </c>
      <c r="EU4" s="10">
        <v>46401.0</v>
      </c>
      <c r="EV4" s="10">
        <v>46402.0</v>
      </c>
      <c r="EW4" s="10">
        <v>46403.0</v>
      </c>
      <c r="EX4" s="10">
        <v>46404.0</v>
      </c>
      <c r="EY4" s="10">
        <v>46405.0</v>
      </c>
      <c r="EZ4" s="10">
        <v>46406.0</v>
      </c>
      <c r="FA4" s="10">
        <v>46407.0</v>
      </c>
      <c r="FB4" s="10">
        <v>46408.0</v>
      </c>
      <c r="FC4" s="10">
        <v>46409.0</v>
      </c>
      <c r="FD4" s="10">
        <v>46410.0</v>
      </c>
      <c r="FE4" s="10">
        <v>46411.0</v>
      </c>
      <c r="FF4" s="10">
        <v>46412.0</v>
      </c>
      <c r="FG4" s="10">
        <v>46413.0</v>
      </c>
      <c r="FH4" s="10">
        <v>46414.0</v>
      </c>
      <c r="FI4" s="10">
        <v>46415.0</v>
      </c>
      <c r="FJ4" s="10">
        <v>46416.0</v>
      </c>
      <c r="FK4" s="10">
        <v>46417.0</v>
      </c>
      <c r="FL4" s="10">
        <v>46418.0</v>
      </c>
      <c r="FM4" s="10">
        <v>46419.0</v>
      </c>
      <c r="FN4" s="10">
        <v>46420.0</v>
      </c>
      <c r="FO4" s="10">
        <v>46421.0</v>
      </c>
      <c r="FP4" s="10">
        <v>46422.0</v>
      </c>
      <c r="FQ4" s="10">
        <v>46423.0</v>
      </c>
      <c r="FR4" s="10">
        <v>46424.0</v>
      </c>
      <c r="FS4" s="10">
        <v>46425.0</v>
      </c>
      <c r="FT4" s="10">
        <v>46426.0</v>
      </c>
      <c r="FU4" s="10">
        <v>46427.0</v>
      </c>
      <c r="FV4" s="10">
        <v>46428.0</v>
      </c>
      <c r="FW4" s="10">
        <v>46429.0</v>
      </c>
      <c r="FX4" s="10">
        <v>46430.0</v>
      </c>
      <c r="FY4" s="10">
        <v>46431.0</v>
      </c>
      <c r="FZ4" s="10">
        <v>46432.0</v>
      </c>
      <c r="GA4" s="10">
        <v>46433.0</v>
      </c>
      <c r="GB4" s="10">
        <v>46434.0</v>
      </c>
      <c r="GC4" s="10">
        <v>46435.0</v>
      </c>
      <c r="GD4" s="10">
        <v>46436.0</v>
      </c>
      <c r="GE4" s="10">
        <v>46437.0</v>
      </c>
      <c r="GF4" s="10">
        <v>46438.0</v>
      </c>
      <c r="GG4" s="10">
        <v>46439.0</v>
      </c>
      <c r="GH4" s="10">
        <v>46440.0</v>
      </c>
      <c r="GI4" s="10">
        <v>46441.0</v>
      </c>
      <c r="GJ4" s="10">
        <v>46442.0</v>
      </c>
      <c r="GK4" s="10">
        <v>46443.0</v>
      </c>
      <c r="GL4" s="10">
        <v>46444.0</v>
      </c>
      <c r="GM4" s="10">
        <v>46445.0</v>
      </c>
      <c r="GN4" s="10">
        <v>46446.0</v>
      </c>
      <c r="GO4" s="10">
        <v>46447.0</v>
      </c>
      <c r="GP4" s="10">
        <v>46448.0</v>
      </c>
      <c r="GQ4" s="10">
        <v>46449.0</v>
      </c>
      <c r="GR4" s="10">
        <v>46450.0</v>
      </c>
      <c r="GS4" s="10">
        <v>46451.0</v>
      </c>
      <c r="GT4" s="10">
        <v>46452.0</v>
      </c>
      <c r="GU4" s="10">
        <v>46453.0</v>
      </c>
      <c r="GV4" s="10">
        <v>46454.0</v>
      </c>
      <c r="GW4" s="10">
        <v>46455.0</v>
      </c>
      <c r="GX4" s="10">
        <v>46456.0</v>
      </c>
      <c r="GY4" s="10">
        <v>46457.0</v>
      </c>
      <c r="GZ4" s="10">
        <v>46458.0</v>
      </c>
      <c r="HA4" s="10">
        <v>46459.0</v>
      </c>
      <c r="HB4" s="10">
        <v>46460.0</v>
      </c>
      <c r="HC4" s="10">
        <v>46461.0</v>
      </c>
      <c r="HD4" s="10">
        <v>46462.0</v>
      </c>
      <c r="HE4" s="10">
        <v>46463.0</v>
      </c>
      <c r="HF4" s="10">
        <v>46464.0</v>
      </c>
      <c r="HG4" s="10">
        <v>46465.0</v>
      </c>
      <c r="HH4" s="10">
        <v>46466.0</v>
      </c>
      <c r="HI4" s="10">
        <v>46467.0</v>
      </c>
      <c r="HJ4" s="10">
        <v>46468.0</v>
      </c>
      <c r="HK4" s="10">
        <v>46469.0</v>
      </c>
      <c r="HL4" s="10">
        <v>46470.0</v>
      </c>
      <c r="HM4" s="10">
        <v>46471.0</v>
      </c>
      <c r="HN4" s="10">
        <v>46472.0</v>
      </c>
      <c r="HO4" s="10">
        <v>46473.0</v>
      </c>
      <c r="HP4" s="10">
        <v>46474.0</v>
      </c>
      <c r="HQ4" s="10">
        <v>46475.0</v>
      </c>
      <c r="HR4" s="10">
        <v>46476.0</v>
      </c>
      <c r="HS4" s="10">
        <v>46477.0</v>
      </c>
      <c r="HT4" s="10">
        <v>46478.0</v>
      </c>
      <c r="HU4" s="10">
        <v>46479.0</v>
      </c>
      <c r="HV4" s="10">
        <v>46480.0</v>
      </c>
      <c r="HW4" s="10">
        <v>46481.0</v>
      </c>
      <c r="HX4" s="10">
        <v>46482.0</v>
      </c>
      <c r="HY4" s="10">
        <v>46483.0</v>
      </c>
      <c r="HZ4" s="10">
        <v>46484.0</v>
      </c>
      <c r="IA4" s="10">
        <v>46485.0</v>
      </c>
      <c r="IB4" s="10">
        <v>46486.0</v>
      </c>
      <c r="IC4" s="10">
        <v>46487.0</v>
      </c>
      <c r="ID4" s="10">
        <v>46488.0</v>
      </c>
      <c r="IE4" s="10">
        <v>46489.0</v>
      </c>
      <c r="IF4" s="10">
        <v>46490.0</v>
      </c>
      <c r="IG4" s="10">
        <v>46491.0</v>
      </c>
      <c r="IH4" s="10">
        <v>46492.0</v>
      </c>
      <c r="II4" s="10">
        <v>46493.0</v>
      </c>
      <c r="IJ4" s="10">
        <v>46494.0</v>
      </c>
      <c r="IK4" s="10">
        <v>46495.0</v>
      </c>
      <c r="IL4" s="10">
        <v>46496.0</v>
      </c>
      <c r="IM4" s="10">
        <v>46497.0</v>
      </c>
      <c r="IN4" s="10">
        <v>46498.0</v>
      </c>
      <c r="IO4" s="10">
        <v>46499.0</v>
      </c>
      <c r="IP4" s="10">
        <v>46500.0</v>
      </c>
      <c r="IQ4" s="10">
        <v>46501.0</v>
      </c>
      <c r="IR4" s="10">
        <v>46502.0</v>
      </c>
      <c r="IS4" s="10">
        <v>46503.0</v>
      </c>
      <c r="IT4" s="10">
        <v>46504.0</v>
      </c>
      <c r="IU4" s="10">
        <v>46505.0</v>
      </c>
      <c r="IV4" s="10">
        <v>46506.0</v>
      </c>
      <c r="IW4" s="10">
        <v>46507.0</v>
      </c>
      <c r="IX4" s="10">
        <v>46508.0</v>
      </c>
      <c r="IY4" s="10">
        <v>46509.0</v>
      </c>
      <c r="IZ4" s="10">
        <v>46510.0</v>
      </c>
      <c r="JA4" s="10">
        <v>46511.0</v>
      </c>
      <c r="JB4" s="10">
        <v>46512.0</v>
      </c>
      <c r="JC4" s="10">
        <v>46513.0</v>
      </c>
      <c r="JD4" s="10">
        <v>46514.0</v>
      </c>
      <c r="JE4" s="10">
        <v>46515.0</v>
      </c>
      <c r="JF4" s="10">
        <v>46516.0</v>
      </c>
      <c r="JG4" s="10">
        <v>46517.0</v>
      </c>
      <c r="JH4" s="10">
        <v>46518.0</v>
      </c>
      <c r="JI4" s="10">
        <v>46519.0</v>
      </c>
      <c r="JJ4" s="10">
        <v>46520.0</v>
      </c>
      <c r="JK4" s="10">
        <v>46521.0</v>
      </c>
      <c r="JL4" s="10">
        <v>46522.0</v>
      </c>
      <c r="JM4" s="10">
        <v>46523.0</v>
      </c>
      <c r="JN4" s="10">
        <v>46524.0</v>
      </c>
      <c r="JO4" s="10">
        <v>46525.0</v>
      </c>
      <c r="JP4" s="10">
        <v>46526.0</v>
      </c>
      <c r="JQ4" s="10">
        <v>46527.0</v>
      </c>
      <c r="JR4" s="10">
        <v>46528.0</v>
      </c>
      <c r="JS4" s="10">
        <v>46529.0</v>
      </c>
      <c r="JT4" s="10">
        <v>46530.0</v>
      </c>
      <c r="JU4" s="10">
        <v>46531.0</v>
      </c>
      <c r="JV4" s="10">
        <v>46532.0</v>
      </c>
      <c r="JW4" s="10">
        <v>46533.0</v>
      </c>
      <c r="JX4" s="10">
        <v>46534.0</v>
      </c>
      <c r="JY4" s="10">
        <v>46535.0</v>
      </c>
      <c r="JZ4" s="10">
        <v>46536.0</v>
      </c>
      <c r="KA4" s="10">
        <v>46537.0</v>
      </c>
      <c r="KB4" s="10">
        <v>46538.0</v>
      </c>
      <c r="KC4" s="10">
        <v>46539.0</v>
      </c>
      <c r="KD4" s="10">
        <v>46540.0</v>
      </c>
      <c r="KE4" s="10">
        <v>46541.0</v>
      </c>
      <c r="KF4" s="10">
        <v>46542.0</v>
      </c>
    </row>
    <row r="5" ht="24.0" customHeight="1">
      <c r="A5" s="12" t="s">
        <v>65</v>
      </c>
      <c r="B5" s="12" t="s">
        <v>66</v>
      </c>
      <c r="C5" s="13">
        <v>46226.0</v>
      </c>
      <c r="D5" s="13">
        <v>46262.0</v>
      </c>
      <c r="E5" s="14"/>
      <c r="F5" s="15">
        <v>46279.0</v>
      </c>
      <c r="G5" s="14"/>
      <c r="H5" s="12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6"/>
      <c r="FS5" s="16"/>
      <c r="FT5" s="16"/>
      <c r="FU5" s="16"/>
      <c r="FV5" s="16"/>
      <c r="FW5" s="16"/>
      <c r="FX5" s="16"/>
      <c r="FY5" s="16"/>
      <c r="FZ5" s="16"/>
      <c r="GA5" s="16"/>
      <c r="GB5" s="16"/>
      <c r="GC5" s="16"/>
      <c r="GD5" s="16"/>
      <c r="GE5" s="16"/>
      <c r="GF5" s="16"/>
      <c r="GG5" s="16"/>
      <c r="GH5" s="16"/>
      <c r="GI5" s="16"/>
      <c r="GJ5" s="16"/>
      <c r="GK5" s="16"/>
      <c r="GL5" s="16"/>
      <c r="GM5" s="16"/>
      <c r="GN5" s="16"/>
      <c r="GO5" s="16"/>
      <c r="GP5" s="16"/>
      <c r="GQ5" s="16"/>
      <c r="GR5" s="16"/>
      <c r="GS5" s="16"/>
      <c r="GT5" s="16"/>
      <c r="GU5" s="16"/>
      <c r="GV5" s="16"/>
      <c r="GW5" s="16"/>
      <c r="GX5" s="16"/>
      <c r="GY5" s="16"/>
      <c r="GZ5" s="16"/>
      <c r="HA5" s="16"/>
      <c r="HB5" s="16"/>
      <c r="HC5" s="16"/>
      <c r="HD5" s="16"/>
      <c r="HE5" s="16"/>
      <c r="HF5" s="16"/>
      <c r="HG5" s="16"/>
      <c r="HH5" s="16"/>
      <c r="HI5" s="16"/>
      <c r="HJ5" s="16"/>
      <c r="HK5" s="16"/>
      <c r="HL5" s="16"/>
      <c r="HM5" s="16"/>
      <c r="HN5" s="16"/>
      <c r="HO5" s="16"/>
      <c r="HP5" s="16"/>
      <c r="HQ5" s="16"/>
      <c r="HR5" s="16"/>
      <c r="HS5" s="16"/>
      <c r="HT5" s="16"/>
      <c r="HU5" s="16"/>
      <c r="HV5" s="16"/>
      <c r="HW5" s="16"/>
      <c r="HX5" s="16"/>
      <c r="HY5" s="16"/>
      <c r="HZ5" s="16"/>
      <c r="IA5" s="16"/>
      <c r="IB5" s="16"/>
      <c r="IC5" s="16"/>
      <c r="ID5" s="16"/>
      <c r="IE5" s="16"/>
      <c r="IF5" s="16"/>
      <c r="IG5" s="16"/>
      <c r="IH5" s="16"/>
      <c r="II5" s="16"/>
      <c r="IJ5" s="16"/>
      <c r="IK5" s="16"/>
      <c r="IL5" s="16"/>
      <c r="IM5" s="16"/>
      <c r="IN5" s="16"/>
      <c r="IO5" s="16"/>
      <c r="IP5" s="16"/>
      <c r="IQ5" s="16"/>
      <c r="IR5" s="16"/>
      <c r="IS5" s="16"/>
      <c r="IT5" s="16"/>
      <c r="IU5" s="16"/>
      <c r="IV5" s="16"/>
      <c r="IW5" s="16"/>
      <c r="IX5" s="16"/>
      <c r="IY5" s="16"/>
      <c r="IZ5" s="16"/>
      <c r="JA5" s="16"/>
      <c r="JB5" s="16"/>
      <c r="JC5" s="16"/>
      <c r="JD5" s="16"/>
      <c r="JE5" s="16"/>
      <c r="JF5" s="16"/>
      <c r="JG5" s="16"/>
      <c r="JH5" s="16"/>
      <c r="JI5" s="16"/>
      <c r="JJ5" s="16"/>
      <c r="JK5" s="16"/>
      <c r="JL5" s="16"/>
      <c r="JM5" s="16"/>
      <c r="JN5" s="16"/>
      <c r="JO5" s="16"/>
      <c r="JP5" s="16"/>
      <c r="JQ5" s="16"/>
      <c r="JR5" s="16"/>
      <c r="JS5" s="16"/>
      <c r="JT5" s="16"/>
      <c r="JU5" s="16"/>
      <c r="JV5" s="16"/>
      <c r="JW5" s="16"/>
      <c r="JX5" s="16"/>
      <c r="JY5" s="16"/>
      <c r="JZ5" s="16"/>
      <c r="KA5" s="16"/>
      <c r="KB5" s="16"/>
      <c r="KC5" s="16"/>
      <c r="KD5" s="16"/>
      <c r="KE5" s="16"/>
      <c r="KF5" s="16"/>
    </row>
    <row r="6" ht="24.0" customHeight="1">
      <c r="A6" s="12" t="s">
        <v>68</v>
      </c>
      <c r="B6" s="12" t="s">
        <v>66</v>
      </c>
      <c r="C6" s="13"/>
      <c r="D6" s="13">
        <v>46262.0</v>
      </c>
      <c r="E6" s="14"/>
      <c r="F6" s="15">
        <v>46286.0</v>
      </c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16"/>
      <c r="FN6" s="16"/>
      <c r="FO6" s="16"/>
      <c r="FP6" s="16"/>
      <c r="FQ6" s="16"/>
      <c r="FR6" s="16"/>
      <c r="FS6" s="16"/>
      <c r="FT6" s="16"/>
      <c r="FU6" s="16"/>
      <c r="FV6" s="16"/>
      <c r="FW6" s="16"/>
      <c r="FX6" s="16"/>
      <c r="FY6" s="16"/>
      <c r="FZ6" s="16"/>
      <c r="GA6" s="16"/>
      <c r="GB6" s="16"/>
      <c r="GC6" s="16"/>
      <c r="GD6" s="16"/>
      <c r="GE6" s="16"/>
      <c r="GF6" s="16"/>
      <c r="GG6" s="16"/>
      <c r="GH6" s="16"/>
      <c r="GI6" s="16"/>
      <c r="GJ6" s="16"/>
      <c r="GK6" s="16"/>
      <c r="GL6" s="16"/>
      <c r="GM6" s="16"/>
      <c r="GN6" s="16"/>
      <c r="GO6" s="16"/>
      <c r="GP6" s="16"/>
      <c r="GQ6" s="16"/>
      <c r="GR6" s="16"/>
      <c r="GS6" s="16"/>
      <c r="GT6" s="16"/>
      <c r="GU6" s="16"/>
      <c r="GV6" s="16"/>
      <c r="GW6" s="16"/>
      <c r="GX6" s="16"/>
      <c r="GY6" s="16"/>
      <c r="GZ6" s="16"/>
      <c r="HA6" s="16"/>
      <c r="HB6" s="16"/>
      <c r="HC6" s="16"/>
      <c r="HD6" s="16"/>
      <c r="HE6" s="16"/>
      <c r="HF6" s="16"/>
      <c r="HG6" s="16"/>
      <c r="HH6" s="16"/>
      <c r="HI6" s="16"/>
      <c r="HJ6" s="16"/>
      <c r="HK6" s="16"/>
      <c r="HL6" s="16"/>
      <c r="HM6" s="16"/>
      <c r="HN6" s="16"/>
      <c r="HO6" s="16"/>
      <c r="HP6" s="16"/>
      <c r="HQ6" s="16"/>
      <c r="HR6" s="16"/>
      <c r="HS6" s="16"/>
      <c r="HT6" s="16"/>
      <c r="HU6" s="16"/>
      <c r="HV6" s="16"/>
      <c r="HW6" s="16"/>
      <c r="HX6" s="16"/>
      <c r="HY6" s="16"/>
      <c r="HZ6" s="16"/>
      <c r="IA6" s="16"/>
      <c r="IB6" s="16"/>
      <c r="IC6" s="16"/>
      <c r="ID6" s="16"/>
      <c r="IE6" s="16"/>
      <c r="IF6" s="16"/>
      <c r="IG6" s="16"/>
      <c r="IH6" s="16"/>
      <c r="II6" s="16"/>
      <c r="IJ6" s="16"/>
      <c r="IK6" s="16"/>
      <c r="IL6" s="16"/>
      <c r="IM6" s="16"/>
      <c r="IN6" s="16"/>
      <c r="IO6" s="16"/>
      <c r="IP6" s="16"/>
      <c r="IQ6" s="16"/>
      <c r="IR6" s="16"/>
      <c r="IS6" s="16"/>
      <c r="IT6" s="16"/>
      <c r="IU6" s="16"/>
      <c r="IV6" s="16"/>
      <c r="IW6" s="16"/>
      <c r="IX6" s="16"/>
      <c r="IY6" s="16"/>
      <c r="IZ6" s="16"/>
      <c r="JA6" s="16"/>
      <c r="JB6" s="16"/>
      <c r="JC6" s="16"/>
      <c r="JD6" s="16"/>
      <c r="JE6" s="16"/>
      <c r="JF6" s="16"/>
      <c r="JG6" s="16"/>
      <c r="JH6" s="16"/>
      <c r="JI6" s="16"/>
      <c r="JJ6" s="16"/>
      <c r="JK6" s="16"/>
      <c r="JL6" s="16"/>
      <c r="JM6" s="16"/>
      <c r="JN6" s="16"/>
      <c r="JO6" s="16"/>
      <c r="JP6" s="16"/>
      <c r="JQ6" s="16"/>
      <c r="JR6" s="16"/>
      <c r="JS6" s="16"/>
      <c r="JT6" s="16"/>
      <c r="JU6" s="16"/>
      <c r="JV6" s="16"/>
      <c r="JW6" s="16"/>
      <c r="JX6" s="16"/>
      <c r="JY6" s="16"/>
      <c r="JZ6" s="16"/>
      <c r="KA6" s="16"/>
      <c r="KB6" s="16"/>
      <c r="KC6" s="16"/>
      <c r="KD6" s="16"/>
      <c r="KE6" s="16"/>
      <c r="KF6" s="16"/>
    </row>
    <row r="7" ht="24.0" customHeight="1">
      <c r="A7" s="12" t="s">
        <v>70</v>
      </c>
      <c r="B7" s="14"/>
      <c r="C7" s="15"/>
      <c r="D7" s="13">
        <v>46223.0</v>
      </c>
      <c r="E7" s="12" t="s">
        <v>72</v>
      </c>
      <c r="F7" s="13">
        <v>46259.0</v>
      </c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16"/>
      <c r="DP7" s="16"/>
      <c r="DQ7" s="16"/>
      <c r="DR7" s="16"/>
      <c r="DS7" s="16"/>
      <c r="DT7" s="16"/>
      <c r="DU7" s="16"/>
      <c r="DV7" s="16"/>
      <c r="DW7" s="16"/>
      <c r="DX7" s="16"/>
      <c r="DY7" s="16"/>
      <c r="DZ7" s="16"/>
      <c r="EA7" s="16"/>
      <c r="EB7" s="16"/>
      <c r="EC7" s="16"/>
      <c r="ED7" s="16"/>
      <c r="EE7" s="16"/>
      <c r="EF7" s="16"/>
      <c r="EG7" s="16"/>
      <c r="EH7" s="16"/>
      <c r="EI7" s="16"/>
      <c r="EJ7" s="16"/>
      <c r="EK7" s="16"/>
      <c r="EL7" s="16"/>
      <c r="EM7" s="16"/>
      <c r="EN7" s="16"/>
      <c r="EO7" s="16"/>
      <c r="EP7" s="16"/>
      <c r="EQ7" s="16"/>
      <c r="ER7" s="16"/>
      <c r="ES7" s="16"/>
      <c r="ET7" s="16"/>
      <c r="EU7" s="16"/>
      <c r="EV7" s="16"/>
      <c r="EW7" s="16"/>
      <c r="EX7" s="16"/>
      <c r="EY7" s="16"/>
      <c r="EZ7" s="16"/>
      <c r="FA7" s="16"/>
      <c r="FB7" s="16"/>
      <c r="FC7" s="16"/>
      <c r="FD7" s="16"/>
      <c r="FE7" s="16"/>
      <c r="FF7" s="16"/>
      <c r="FG7" s="16"/>
      <c r="FH7" s="16"/>
      <c r="FI7" s="16"/>
      <c r="FJ7" s="16"/>
      <c r="FK7" s="16"/>
      <c r="FL7" s="16"/>
      <c r="FM7" s="16"/>
      <c r="FN7" s="16"/>
      <c r="FO7" s="16"/>
      <c r="FP7" s="16"/>
      <c r="FQ7" s="16"/>
      <c r="FR7" s="16"/>
      <c r="FS7" s="16"/>
      <c r="FT7" s="16"/>
      <c r="FU7" s="16"/>
      <c r="FV7" s="16"/>
      <c r="FW7" s="16"/>
      <c r="FX7" s="16"/>
      <c r="FY7" s="16"/>
      <c r="FZ7" s="16"/>
      <c r="GA7" s="16"/>
      <c r="GB7" s="16"/>
      <c r="GC7" s="16"/>
      <c r="GD7" s="16"/>
      <c r="GE7" s="16"/>
      <c r="GF7" s="16"/>
      <c r="GG7" s="16"/>
      <c r="GH7" s="16"/>
      <c r="GI7" s="16"/>
      <c r="GJ7" s="16"/>
      <c r="GK7" s="16"/>
      <c r="GL7" s="16"/>
      <c r="GM7" s="16"/>
      <c r="GN7" s="16"/>
      <c r="GO7" s="16"/>
      <c r="GP7" s="16"/>
      <c r="GQ7" s="16"/>
      <c r="GR7" s="16"/>
      <c r="GS7" s="16"/>
      <c r="GT7" s="16"/>
      <c r="GU7" s="16"/>
      <c r="GV7" s="16"/>
      <c r="GW7" s="16"/>
      <c r="GX7" s="16"/>
      <c r="GY7" s="16"/>
      <c r="GZ7" s="16"/>
      <c r="HA7" s="16"/>
      <c r="HB7" s="16"/>
      <c r="HC7" s="16"/>
      <c r="HD7" s="16"/>
      <c r="HE7" s="16"/>
      <c r="HF7" s="16"/>
      <c r="HG7" s="16"/>
      <c r="HH7" s="16"/>
      <c r="HI7" s="16"/>
      <c r="HJ7" s="16"/>
      <c r="HK7" s="16"/>
      <c r="HL7" s="16"/>
      <c r="HM7" s="16"/>
      <c r="HN7" s="16"/>
      <c r="HO7" s="16"/>
      <c r="HP7" s="16"/>
      <c r="HQ7" s="16"/>
      <c r="HR7" s="16"/>
      <c r="HS7" s="16"/>
      <c r="HT7" s="16"/>
      <c r="HU7" s="16"/>
      <c r="HV7" s="16"/>
      <c r="HW7" s="16"/>
      <c r="HX7" s="16"/>
      <c r="HY7" s="16"/>
      <c r="HZ7" s="16"/>
      <c r="IA7" s="16"/>
      <c r="IB7" s="16"/>
      <c r="IC7" s="16"/>
      <c r="ID7" s="16"/>
      <c r="IE7" s="16"/>
      <c r="IF7" s="16"/>
      <c r="IG7" s="16"/>
      <c r="IH7" s="16"/>
      <c r="II7" s="16"/>
      <c r="IJ7" s="16"/>
      <c r="IK7" s="16"/>
      <c r="IL7" s="16"/>
      <c r="IM7" s="16"/>
      <c r="IN7" s="16"/>
      <c r="IO7" s="16"/>
      <c r="IP7" s="16"/>
      <c r="IQ7" s="16"/>
      <c r="IR7" s="16"/>
      <c r="IS7" s="16"/>
      <c r="IT7" s="16"/>
      <c r="IU7" s="16"/>
      <c r="IV7" s="16"/>
      <c r="IW7" s="16"/>
      <c r="IX7" s="16"/>
      <c r="IY7" s="16"/>
      <c r="IZ7" s="16"/>
      <c r="JA7" s="16"/>
      <c r="JB7" s="16"/>
      <c r="JC7" s="16"/>
      <c r="JD7" s="16"/>
      <c r="JE7" s="16"/>
      <c r="JF7" s="16"/>
      <c r="JG7" s="16"/>
      <c r="JH7" s="16"/>
      <c r="JI7" s="16"/>
      <c r="JJ7" s="16"/>
      <c r="JK7" s="16"/>
      <c r="JL7" s="16"/>
      <c r="JM7" s="16"/>
      <c r="JN7" s="16"/>
      <c r="JO7" s="16"/>
      <c r="JP7" s="16"/>
      <c r="JQ7" s="16"/>
      <c r="JR7" s="16"/>
      <c r="JS7" s="16"/>
      <c r="JT7" s="16"/>
      <c r="JU7" s="16"/>
      <c r="JV7" s="16"/>
      <c r="JW7" s="16"/>
      <c r="JX7" s="16"/>
      <c r="JY7" s="16"/>
      <c r="JZ7" s="16"/>
      <c r="KA7" s="16"/>
      <c r="KB7" s="16"/>
      <c r="KC7" s="16"/>
      <c r="KD7" s="16"/>
      <c r="KE7" s="16"/>
      <c r="KF7" s="16"/>
    </row>
    <row r="8" ht="24.0" customHeight="1">
      <c r="A8" s="12" t="s">
        <v>76</v>
      </c>
      <c r="B8" s="12" t="s">
        <v>77</v>
      </c>
      <c r="C8" s="13">
        <v>46219.0</v>
      </c>
      <c r="D8" s="15">
        <v>46281.0</v>
      </c>
      <c r="E8" s="14"/>
      <c r="F8" s="15">
        <v>46282.0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16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6"/>
      <c r="EC8" s="16"/>
      <c r="ED8" s="16"/>
      <c r="EE8" s="16"/>
      <c r="EF8" s="16"/>
      <c r="EG8" s="16"/>
      <c r="EH8" s="16"/>
      <c r="EI8" s="16"/>
      <c r="EJ8" s="16"/>
      <c r="EK8" s="16"/>
      <c r="EL8" s="16"/>
      <c r="EM8" s="16"/>
      <c r="EN8" s="16"/>
      <c r="EO8" s="16"/>
      <c r="EP8" s="16"/>
      <c r="EQ8" s="16"/>
      <c r="ER8" s="16"/>
      <c r="ES8" s="16"/>
      <c r="ET8" s="16"/>
      <c r="EU8" s="16"/>
      <c r="EV8" s="16"/>
      <c r="EW8" s="16"/>
      <c r="EX8" s="16"/>
      <c r="EY8" s="16"/>
      <c r="EZ8" s="16"/>
      <c r="FA8" s="16"/>
      <c r="FB8" s="16"/>
      <c r="FC8" s="16"/>
      <c r="FD8" s="16"/>
      <c r="FE8" s="16"/>
      <c r="FF8" s="16"/>
      <c r="FG8" s="16"/>
      <c r="FH8" s="16"/>
      <c r="FI8" s="16"/>
      <c r="FJ8" s="16"/>
      <c r="FK8" s="16"/>
      <c r="FL8" s="16"/>
      <c r="FM8" s="16"/>
      <c r="FN8" s="16"/>
      <c r="FO8" s="16"/>
      <c r="FP8" s="16"/>
      <c r="FQ8" s="16"/>
      <c r="FR8" s="16"/>
      <c r="FS8" s="16"/>
      <c r="FT8" s="16"/>
      <c r="FU8" s="16"/>
      <c r="FV8" s="16"/>
      <c r="FW8" s="16"/>
      <c r="FX8" s="16"/>
      <c r="FY8" s="16"/>
      <c r="FZ8" s="16"/>
      <c r="GA8" s="16"/>
      <c r="GB8" s="16"/>
      <c r="GC8" s="16"/>
      <c r="GD8" s="16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  <c r="GS8" s="16"/>
      <c r="GT8" s="16"/>
      <c r="GU8" s="16"/>
      <c r="GV8" s="16"/>
      <c r="GW8" s="16"/>
      <c r="GX8" s="16"/>
      <c r="GY8" s="16"/>
      <c r="GZ8" s="16"/>
      <c r="HA8" s="16"/>
      <c r="HB8" s="16"/>
      <c r="HC8" s="16"/>
      <c r="HD8" s="16"/>
      <c r="HE8" s="16"/>
      <c r="HF8" s="16"/>
      <c r="HG8" s="16"/>
      <c r="HH8" s="16"/>
      <c r="HI8" s="16"/>
      <c r="HJ8" s="16"/>
      <c r="HK8" s="16"/>
      <c r="HL8" s="16"/>
      <c r="HM8" s="16"/>
      <c r="HN8" s="16"/>
      <c r="HO8" s="16"/>
      <c r="HP8" s="16"/>
      <c r="HQ8" s="16"/>
      <c r="HR8" s="16"/>
      <c r="HS8" s="16"/>
      <c r="HT8" s="16"/>
      <c r="HU8" s="16"/>
      <c r="HV8" s="16"/>
      <c r="HW8" s="16"/>
      <c r="HX8" s="16"/>
      <c r="HY8" s="16"/>
      <c r="HZ8" s="16"/>
      <c r="IA8" s="16"/>
      <c r="IB8" s="16"/>
      <c r="IC8" s="16"/>
      <c r="ID8" s="16"/>
      <c r="IE8" s="16"/>
      <c r="IF8" s="16"/>
      <c r="IG8" s="16"/>
      <c r="IH8" s="16"/>
      <c r="II8" s="16"/>
      <c r="IJ8" s="16"/>
      <c r="IK8" s="16"/>
      <c r="IL8" s="16"/>
      <c r="IM8" s="16"/>
      <c r="IN8" s="16"/>
      <c r="IO8" s="16"/>
      <c r="IP8" s="16"/>
      <c r="IQ8" s="16"/>
      <c r="IR8" s="16"/>
      <c r="IS8" s="16"/>
      <c r="IT8" s="16"/>
      <c r="IU8" s="16"/>
      <c r="IV8" s="16"/>
      <c r="IW8" s="16"/>
      <c r="IX8" s="16"/>
      <c r="IY8" s="16"/>
      <c r="IZ8" s="16"/>
      <c r="JA8" s="16"/>
      <c r="JB8" s="16"/>
      <c r="JC8" s="16"/>
      <c r="JD8" s="16"/>
      <c r="JE8" s="16"/>
      <c r="JF8" s="16"/>
      <c r="JG8" s="16"/>
      <c r="JH8" s="16"/>
      <c r="JI8" s="16"/>
      <c r="JJ8" s="16"/>
      <c r="JK8" s="16"/>
      <c r="JL8" s="16"/>
      <c r="JM8" s="16"/>
      <c r="JN8" s="16"/>
      <c r="JO8" s="16"/>
      <c r="JP8" s="16"/>
      <c r="JQ8" s="16"/>
      <c r="JR8" s="16"/>
      <c r="JS8" s="16"/>
      <c r="JT8" s="16"/>
      <c r="JU8" s="16"/>
      <c r="JV8" s="16"/>
      <c r="JW8" s="16"/>
      <c r="JX8" s="16"/>
      <c r="JY8" s="16"/>
      <c r="JZ8" s="16"/>
      <c r="KA8" s="16"/>
      <c r="KB8" s="16"/>
      <c r="KC8" s="16"/>
      <c r="KD8" s="16"/>
      <c r="KE8" s="16"/>
      <c r="KF8" s="16"/>
    </row>
    <row r="9" ht="24.0" customHeight="1">
      <c r="A9" s="12" t="s">
        <v>79</v>
      </c>
      <c r="B9" s="14"/>
      <c r="C9" s="15"/>
      <c r="D9" s="13">
        <v>46230.0</v>
      </c>
      <c r="E9" s="12" t="s">
        <v>72</v>
      </c>
      <c r="F9" s="13">
        <v>46259.0</v>
      </c>
      <c r="G9" s="14"/>
      <c r="H9" s="12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6"/>
      <c r="DP9" s="16"/>
      <c r="DQ9" s="16"/>
      <c r="DR9" s="16"/>
      <c r="DS9" s="16"/>
      <c r="DT9" s="16"/>
      <c r="DU9" s="16"/>
      <c r="DV9" s="16"/>
      <c r="DW9" s="16"/>
      <c r="DX9" s="16"/>
      <c r="DY9" s="16"/>
      <c r="DZ9" s="16"/>
      <c r="EA9" s="16"/>
      <c r="EB9" s="16"/>
      <c r="EC9" s="16"/>
      <c r="ED9" s="16"/>
      <c r="EE9" s="16"/>
      <c r="EF9" s="16"/>
      <c r="EG9" s="16"/>
      <c r="EH9" s="16"/>
      <c r="EI9" s="16"/>
      <c r="EJ9" s="16"/>
      <c r="EK9" s="16"/>
      <c r="EL9" s="16"/>
      <c r="EM9" s="16"/>
      <c r="EN9" s="16"/>
      <c r="EO9" s="16"/>
      <c r="EP9" s="16"/>
      <c r="EQ9" s="16"/>
      <c r="ER9" s="16"/>
      <c r="ES9" s="16"/>
      <c r="ET9" s="16"/>
      <c r="EU9" s="16"/>
      <c r="EV9" s="16"/>
      <c r="EW9" s="16"/>
      <c r="EX9" s="16"/>
      <c r="EY9" s="16"/>
      <c r="EZ9" s="16"/>
      <c r="FA9" s="16"/>
      <c r="FB9" s="16"/>
      <c r="FC9" s="16"/>
      <c r="FD9" s="16"/>
      <c r="FE9" s="16"/>
      <c r="FF9" s="16"/>
      <c r="FG9" s="16"/>
      <c r="FH9" s="16"/>
      <c r="FI9" s="16"/>
      <c r="FJ9" s="16"/>
      <c r="FK9" s="16"/>
      <c r="FL9" s="16"/>
      <c r="FM9" s="16"/>
      <c r="FN9" s="16"/>
      <c r="FO9" s="16"/>
      <c r="FP9" s="16"/>
      <c r="FQ9" s="16"/>
      <c r="FR9" s="16"/>
      <c r="FS9" s="16"/>
      <c r="FT9" s="16"/>
      <c r="FU9" s="16"/>
      <c r="FV9" s="16"/>
      <c r="FW9" s="16"/>
      <c r="FX9" s="16"/>
      <c r="FY9" s="16"/>
      <c r="FZ9" s="16"/>
      <c r="GA9" s="16"/>
      <c r="GB9" s="16"/>
      <c r="GC9" s="16"/>
      <c r="GD9" s="16"/>
      <c r="GE9" s="16"/>
      <c r="GF9" s="16"/>
      <c r="GG9" s="16"/>
      <c r="GH9" s="16"/>
      <c r="GI9" s="16"/>
      <c r="GJ9" s="16"/>
      <c r="GK9" s="16"/>
      <c r="GL9" s="16"/>
      <c r="GM9" s="16"/>
      <c r="GN9" s="16"/>
      <c r="GO9" s="16"/>
      <c r="GP9" s="16"/>
      <c r="GQ9" s="16"/>
      <c r="GR9" s="16"/>
      <c r="GS9" s="16"/>
      <c r="GT9" s="16"/>
      <c r="GU9" s="16"/>
      <c r="GV9" s="16"/>
      <c r="GW9" s="16"/>
      <c r="GX9" s="16"/>
      <c r="GY9" s="16"/>
      <c r="GZ9" s="16"/>
      <c r="HA9" s="16"/>
      <c r="HB9" s="16"/>
      <c r="HC9" s="16"/>
      <c r="HD9" s="16"/>
      <c r="HE9" s="16"/>
      <c r="HF9" s="16"/>
      <c r="HG9" s="16"/>
      <c r="HH9" s="16"/>
      <c r="HI9" s="16"/>
      <c r="HJ9" s="16"/>
      <c r="HK9" s="16"/>
      <c r="HL9" s="16"/>
      <c r="HM9" s="16"/>
      <c r="HN9" s="16"/>
      <c r="HO9" s="16"/>
      <c r="HP9" s="16"/>
      <c r="HQ9" s="16"/>
      <c r="HR9" s="16"/>
      <c r="HS9" s="16"/>
      <c r="HT9" s="16"/>
      <c r="HU9" s="16"/>
      <c r="HV9" s="16"/>
      <c r="HW9" s="16"/>
      <c r="HX9" s="16"/>
      <c r="HY9" s="16"/>
      <c r="HZ9" s="16"/>
      <c r="IA9" s="16"/>
      <c r="IB9" s="16"/>
      <c r="IC9" s="16"/>
      <c r="ID9" s="16"/>
      <c r="IE9" s="16"/>
      <c r="IF9" s="16"/>
      <c r="IG9" s="16"/>
      <c r="IH9" s="16"/>
      <c r="II9" s="16"/>
      <c r="IJ9" s="16"/>
      <c r="IK9" s="16"/>
      <c r="IL9" s="16"/>
      <c r="IM9" s="16"/>
      <c r="IN9" s="16"/>
      <c r="IO9" s="16"/>
      <c r="IP9" s="16"/>
      <c r="IQ9" s="16"/>
      <c r="IR9" s="16"/>
      <c r="IS9" s="16"/>
      <c r="IT9" s="16"/>
      <c r="IU9" s="16"/>
      <c r="IV9" s="16"/>
      <c r="IW9" s="16"/>
      <c r="IX9" s="16"/>
      <c r="IY9" s="16"/>
      <c r="IZ9" s="16"/>
      <c r="JA9" s="16"/>
      <c r="JB9" s="16"/>
      <c r="JC9" s="16"/>
      <c r="JD9" s="16"/>
      <c r="JE9" s="16"/>
      <c r="JF9" s="16"/>
      <c r="JG9" s="16"/>
      <c r="JH9" s="16"/>
      <c r="JI9" s="16"/>
      <c r="JJ9" s="16"/>
      <c r="JK9" s="16"/>
      <c r="JL9" s="16"/>
      <c r="JM9" s="16"/>
      <c r="JN9" s="16"/>
      <c r="JO9" s="16"/>
      <c r="JP9" s="16"/>
      <c r="JQ9" s="16"/>
      <c r="JR9" s="16"/>
      <c r="JS9" s="16"/>
      <c r="JT9" s="16"/>
      <c r="JU9" s="16"/>
      <c r="JV9" s="16"/>
      <c r="JW9" s="16"/>
      <c r="JX9" s="16"/>
      <c r="JY9" s="16"/>
      <c r="JZ9" s="16"/>
      <c r="KA9" s="16"/>
      <c r="KB9" s="16"/>
      <c r="KC9" s="16"/>
      <c r="KD9" s="16"/>
      <c r="KE9" s="16"/>
      <c r="KF9" s="1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CF$9"/>
  <mergeCells count="2">
    <mergeCell ref="A1:I1"/>
    <mergeCell ref="A2:I2"/>
  </mergeCells>
  <conditionalFormatting sqref="H5:KF9">
    <cfRule type="expression" dxfId="0" priority="1">
      <formula>AND(H$5&gt;=$C5,H$5&lt;=$D5)</formula>
    </cfRule>
  </conditionalFormatting>
  <conditionalFormatting sqref="H5:KF9">
    <cfRule type="expression" dxfId="1" priority="2">
      <formula>AND(H$5&gt;=$D5, H$5&lt;=$F5)</formula>
    </cfRule>
  </conditionalFormatting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4.0"/>
    <col customWidth="1" min="2" max="3" width="12.0"/>
    <col customWidth="1" min="4" max="5" width="13.0"/>
    <col customWidth="1" min="6" max="6" width="12.0"/>
    <col customWidth="1" min="7" max="7" width="10.0"/>
    <col customWidth="1" min="8" max="8" width="20.0"/>
    <col customWidth="1" min="9" max="9" width="8.71"/>
    <col customWidth="1" min="10" max="10" width="28.0"/>
    <col customWidth="1" min="11" max="26" width="8.71"/>
  </cols>
  <sheetData>
    <row r="1">
      <c r="A1" s="1" t="s">
        <v>1</v>
      </c>
    </row>
    <row r="2">
      <c r="A2" s="2" t="s">
        <v>4</v>
      </c>
    </row>
    <row r="4">
      <c r="A4" s="3" t="s">
        <v>8</v>
      </c>
      <c r="B4" s="3" t="s">
        <v>6</v>
      </c>
      <c r="C4" s="3" t="s">
        <v>9</v>
      </c>
      <c r="D4" s="3" t="s">
        <v>11</v>
      </c>
      <c r="E4" s="3" t="s">
        <v>12</v>
      </c>
      <c r="F4" s="3" t="s">
        <v>14</v>
      </c>
      <c r="G4" s="3" t="s">
        <v>15</v>
      </c>
      <c r="H4" s="3" t="s">
        <v>17</v>
      </c>
      <c r="J4" s="4" t="s">
        <v>20</v>
      </c>
    </row>
    <row r="5">
      <c r="A5" s="5" t="s">
        <v>26</v>
      </c>
      <c r="B5" s="5" t="s">
        <v>24</v>
      </c>
      <c r="C5" s="5" t="s">
        <v>27</v>
      </c>
      <c r="D5" s="7">
        <v>46258.0</v>
      </c>
      <c r="E5" s="7">
        <v>46277.0</v>
      </c>
      <c r="F5" s="5" t="s">
        <v>25</v>
      </c>
      <c r="G5" s="5" t="s">
        <v>30</v>
      </c>
      <c r="H5" s="5" t="s">
        <v>31</v>
      </c>
      <c r="J5" s="2" t="s">
        <v>32</v>
      </c>
    </row>
    <row r="6">
      <c r="A6" s="5" t="s">
        <v>29</v>
      </c>
      <c r="B6" s="5" t="s">
        <v>24</v>
      </c>
      <c r="C6" s="5" t="s">
        <v>27</v>
      </c>
      <c r="D6" s="7">
        <v>46279.0</v>
      </c>
      <c r="E6" s="7">
        <v>46295.0</v>
      </c>
      <c r="F6" s="5" t="s">
        <v>38</v>
      </c>
      <c r="G6" s="5" t="s">
        <v>30</v>
      </c>
      <c r="H6" s="5"/>
      <c r="J6" s="2" t="s">
        <v>41</v>
      </c>
    </row>
    <row r="7">
      <c r="A7" s="5" t="s">
        <v>39</v>
      </c>
      <c r="B7" s="5" t="s">
        <v>40</v>
      </c>
      <c r="C7" s="5" t="s">
        <v>27</v>
      </c>
      <c r="D7" s="7">
        <v>46258.0</v>
      </c>
      <c r="E7" s="7">
        <v>46285.0</v>
      </c>
      <c r="F7" s="5" t="s">
        <v>25</v>
      </c>
      <c r="G7" s="5" t="s">
        <v>30</v>
      </c>
      <c r="H7" s="5"/>
      <c r="J7" s="2" t="s">
        <v>44</v>
      </c>
    </row>
    <row r="8">
      <c r="A8" s="5" t="s">
        <v>42</v>
      </c>
      <c r="B8" s="5" t="s">
        <v>40</v>
      </c>
      <c r="C8" s="5" t="s">
        <v>27</v>
      </c>
      <c r="D8" s="7">
        <v>46286.0</v>
      </c>
      <c r="E8" s="7">
        <v>46305.0</v>
      </c>
      <c r="F8" s="5" t="s">
        <v>38</v>
      </c>
      <c r="G8" s="5" t="s">
        <v>49</v>
      </c>
      <c r="H8" s="5"/>
      <c r="J8" s="2" t="s">
        <v>51</v>
      </c>
    </row>
    <row r="9">
      <c r="A9" s="5" t="s">
        <v>48</v>
      </c>
      <c r="B9" s="5" t="s">
        <v>50</v>
      </c>
      <c r="C9" s="5" t="s">
        <v>27</v>
      </c>
      <c r="D9" s="7">
        <v>46258.0</v>
      </c>
      <c r="E9" s="7">
        <v>46270.0</v>
      </c>
      <c r="F9" s="5" t="s">
        <v>25</v>
      </c>
      <c r="G9" s="5" t="s">
        <v>49</v>
      </c>
      <c r="H9" s="5"/>
      <c r="J9" s="2" t="s">
        <v>53</v>
      </c>
    </row>
    <row r="10">
      <c r="A10" s="5" t="s">
        <v>52</v>
      </c>
      <c r="B10" s="5" t="s">
        <v>50</v>
      </c>
      <c r="C10" s="5" t="s">
        <v>27</v>
      </c>
      <c r="D10" s="7">
        <v>46273.0</v>
      </c>
      <c r="E10" s="7">
        <v>46290.0</v>
      </c>
      <c r="F10" s="5" t="s">
        <v>38</v>
      </c>
      <c r="G10" s="5" t="s">
        <v>30</v>
      </c>
      <c r="H10" s="5"/>
    </row>
    <row r="11">
      <c r="A11" s="5" t="s">
        <v>56</v>
      </c>
      <c r="B11" s="5" t="s">
        <v>57</v>
      </c>
      <c r="C11" s="5" t="s">
        <v>27</v>
      </c>
      <c r="D11" s="7">
        <v>46261.0</v>
      </c>
      <c r="E11" s="7">
        <v>46281.0</v>
      </c>
      <c r="F11" s="5" t="s">
        <v>25</v>
      </c>
      <c r="G11" s="5" t="s">
        <v>49</v>
      </c>
      <c r="H11" s="5"/>
    </row>
    <row r="12">
      <c r="A12" s="5" t="s">
        <v>58</v>
      </c>
      <c r="B12" s="5" t="s">
        <v>57</v>
      </c>
      <c r="C12" s="5" t="s">
        <v>27</v>
      </c>
      <c r="D12" s="7">
        <v>46282.0</v>
      </c>
      <c r="E12" s="7">
        <v>46300.0</v>
      </c>
      <c r="F12" s="5" t="s">
        <v>38</v>
      </c>
      <c r="G12" s="5" t="s">
        <v>49</v>
      </c>
      <c r="H12" s="5"/>
    </row>
    <row r="13">
      <c r="A13" s="5" t="s">
        <v>60</v>
      </c>
      <c r="B13" s="5" t="s">
        <v>61</v>
      </c>
      <c r="C13" s="5" t="s">
        <v>27</v>
      </c>
      <c r="D13" s="7">
        <v>46258.0</v>
      </c>
      <c r="E13" s="7">
        <v>46275.0</v>
      </c>
      <c r="F13" s="5" t="s">
        <v>25</v>
      </c>
      <c r="G13" s="5" t="s">
        <v>30</v>
      </c>
      <c r="H13" s="5"/>
    </row>
    <row r="14">
      <c r="A14" s="5" t="s">
        <v>63</v>
      </c>
      <c r="B14" s="5" t="s">
        <v>61</v>
      </c>
      <c r="C14" s="5" t="s">
        <v>27</v>
      </c>
      <c r="D14" s="7">
        <v>46279.0</v>
      </c>
      <c r="E14" s="7">
        <v>46297.0</v>
      </c>
      <c r="F14" s="5" t="s">
        <v>38</v>
      </c>
      <c r="G14" s="5" t="s">
        <v>49</v>
      </c>
      <c r="H14" s="5"/>
    </row>
    <row r="15">
      <c r="B15" s="2"/>
      <c r="F15" s="2"/>
    </row>
    <row r="16">
      <c r="B16" s="2"/>
      <c r="F16" s="2"/>
    </row>
    <row r="17">
      <c r="B17" s="2"/>
      <c r="F17" s="2"/>
    </row>
    <row r="18">
      <c r="B18" s="2"/>
      <c r="F18" s="2"/>
    </row>
    <row r="19">
      <c r="B19" s="2"/>
      <c r="F19" s="2"/>
    </row>
    <row r="20">
      <c r="B20" s="2"/>
      <c r="F20" s="2"/>
    </row>
    <row r="21" ht="15.75" customHeight="1">
      <c r="B21" s="2"/>
      <c r="F21" s="2"/>
    </row>
    <row r="22" ht="15.75" customHeight="1">
      <c r="B22" s="2"/>
      <c r="F22" s="2"/>
    </row>
    <row r="23" ht="15.75" customHeight="1">
      <c r="B23" s="2"/>
      <c r="F23" s="2"/>
    </row>
    <row r="24" ht="15.75" customHeight="1">
      <c r="B24" s="2"/>
      <c r="F24" s="2"/>
    </row>
    <row r="25" ht="15.75" customHeight="1">
      <c r="B25" s="2"/>
      <c r="F25" s="2"/>
    </row>
    <row r="26" ht="15.75" customHeight="1">
      <c r="B26" s="2"/>
      <c r="F26" s="2"/>
    </row>
    <row r="27" ht="15.75" customHeight="1">
      <c r="B27" s="2"/>
      <c r="F27" s="2"/>
    </row>
    <row r="28" ht="15.75" customHeight="1">
      <c r="B28" s="2"/>
      <c r="F28" s="2"/>
    </row>
    <row r="29" ht="15.75" customHeight="1">
      <c r="B29" s="2"/>
      <c r="F29" s="2"/>
    </row>
    <row r="30" ht="15.75" customHeight="1">
      <c r="B30" s="2"/>
      <c r="F30" s="2"/>
    </row>
    <row r="31" ht="15.75" customHeight="1">
      <c r="B31" s="2"/>
      <c r="F31" s="2"/>
    </row>
    <row r="32" ht="15.75" customHeight="1">
      <c r="B32" s="2"/>
      <c r="F32" s="2"/>
    </row>
    <row r="33" ht="15.75" customHeight="1">
      <c r="B33" s="2"/>
      <c r="F33" s="2"/>
    </row>
    <row r="34" ht="15.75" customHeight="1">
      <c r="B34" s="2"/>
      <c r="F34" s="2"/>
    </row>
    <row r="35" ht="15.75" customHeight="1">
      <c r="B35" s="2"/>
      <c r="F35" s="2"/>
    </row>
    <row r="36" ht="15.75" customHeight="1">
      <c r="B36" s="2"/>
      <c r="F36" s="2"/>
    </row>
    <row r="37" ht="15.75" customHeight="1">
      <c r="B37" s="2"/>
      <c r="F37" s="2"/>
    </row>
    <row r="38" ht="15.75" customHeight="1">
      <c r="B38" s="2"/>
      <c r="F38" s="2"/>
    </row>
    <row r="39" ht="15.75" customHeight="1">
      <c r="B39" s="2"/>
      <c r="F39" s="2"/>
    </row>
    <row r="40" ht="15.75" customHeight="1">
      <c r="B40" s="2"/>
      <c r="F40" s="2"/>
    </row>
    <row r="41" ht="15.75" customHeight="1">
      <c r="B41" s="2"/>
      <c r="F41" s="2"/>
    </row>
    <row r="42" ht="15.75" customHeight="1">
      <c r="B42" s="2"/>
      <c r="F42" s="2"/>
    </row>
    <row r="43" ht="15.75" customHeight="1">
      <c r="B43" s="2"/>
      <c r="F43" s="2"/>
    </row>
    <row r="44" ht="15.75" customHeight="1">
      <c r="B44" s="2"/>
      <c r="F44" s="2"/>
    </row>
    <row r="45" ht="15.75" customHeight="1">
      <c r="B45" s="2"/>
      <c r="F45" s="2"/>
    </row>
    <row r="46" ht="15.75" customHeight="1">
      <c r="B46" s="2"/>
      <c r="F46" s="2"/>
    </row>
    <row r="47" ht="15.75" customHeight="1">
      <c r="B47" s="2"/>
      <c r="F47" s="2"/>
    </row>
    <row r="48" ht="15.75" customHeight="1">
      <c r="B48" s="2"/>
      <c r="F48" s="2"/>
    </row>
    <row r="49" ht="15.75" customHeight="1">
      <c r="B49" s="2"/>
      <c r="F49" s="2"/>
    </row>
    <row r="50" ht="15.75" customHeight="1">
      <c r="B50" s="2"/>
      <c r="F50" s="2"/>
    </row>
    <row r="51" ht="15.75" customHeight="1">
      <c r="B51" s="2"/>
      <c r="F51" s="2"/>
    </row>
    <row r="52" ht="15.75" customHeight="1">
      <c r="B52" s="2"/>
      <c r="F52" s="2"/>
    </row>
    <row r="53" ht="15.75" customHeight="1">
      <c r="B53" s="2"/>
      <c r="F53" s="2"/>
    </row>
    <row r="54" ht="15.75" customHeight="1">
      <c r="B54" s="2"/>
      <c r="F54" s="2"/>
    </row>
    <row r="55" ht="15.75" customHeight="1">
      <c r="B55" s="2"/>
      <c r="F55" s="2"/>
    </row>
    <row r="56" ht="15.75" customHeight="1">
      <c r="B56" s="2"/>
      <c r="F56" s="2"/>
    </row>
    <row r="57" ht="15.75" customHeight="1">
      <c r="B57" s="2"/>
      <c r="F57" s="2"/>
    </row>
    <row r="58" ht="15.75" customHeight="1">
      <c r="B58" s="2"/>
      <c r="F58" s="2"/>
    </row>
    <row r="59" ht="15.75" customHeight="1">
      <c r="B59" s="2"/>
      <c r="F59" s="2"/>
    </row>
    <row r="60" ht="15.75" customHeight="1">
      <c r="B60" s="2"/>
      <c r="F60" s="2"/>
    </row>
    <row r="61" ht="15.75" customHeight="1">
      <c r="B61" s="2"/>
      <c r="F61" s="2"/>
    </row>
    <row r="62" ht="15.75" customHeight="1">
      <c r="B62" s="2"/>
      <c r="F62" s="2"/>
    </row>
    <row r="63" ht="15.75" customHeight="1">
      <c r="B63" s="2"/>
      <c r="F63" s="2"/>
    </row>
    <row r="64" ht="15.75" customHeight="1">
      <c r="B64" s="2"/>
      <c r="F64" s="2"/>
    </row>
    <row r="65" ht="15.75" customHeight="1">
      <c r="B65" s="2"/>
      <c r="F65" s="2"/>
    </row>
    <row r="66" ht="15.75" customHeight="1">
      <c r="B66" s="2"/>
      <c r="F66" s="2"/>
    </row>
    <row r="67" ht="15.75" customHeight="1">
      <c r="B67" s="2"/>
      <c r="F67" s="2"/>
    </row>
    <row r="68" ht="15.75" customHeight="1">
      <c r="B68" s="2"/>
      <c r="F68" s="2"/>
    </row>
    <row r="69" ht="15.75" customHeight="1">
      <c r="B69" s="2"/>
      <c r="F69" s="2"/>
    </row>
    <row r="70" ht="15.75" customHeight="1">
      <c r="B70" s="2"/>
      <c r="F70" s="2"/>
    </row>
    <row r="71" ht="15.75" customHeight="1">
      <c r="B71" s="2"/>
      <c r="F71" s="2"/>
    </row>
    <row r="72" ht="15.75" customHeight="1">
      <c r="B72" s="2"/>
      <c r="F72" s="2"/>
    </row>
    <row r="73" ht="15.75" customHeight="1">
      <c r="B73" s="2"/>
      <c r="F73" s="2"/>
    </row>
    <row r="74" ht="15.75" customHeight="1">
      <c r="B74" s="2"/>
      <c r="F74" s="2"/>
    </row>
    <row r="75" ht="15.75" customHeight="1">
      <c r="B75" s="2"/>
      <c r="F75" s="2"/>
    </row>
    <row r="76" ht="15.75" customHeight="1">
      <c r="B76" s="2"/>
      <c r="F76" s="2"/>
    </row>
    <row r="77" ht="15.75" customHeight="1">
      <c r="B77" s="2"/>
      <c r="F77" s="2"/>
    </row>
    <row r="78" ht="15.75" customHeight="1">
      <c r="B78" s="2"/>
      <c r="F78" s="2"/>
    </row>
    <row r="79" ht="15.75" customHeight="1">
      <c r="B79" s="2"/>
      <c r="F79" s="2"/>
    </row>
    <row r="80" ht="15.75" customHeight="1">
      <c r="B80" s="2"/>
      <c r="F80" s="2"/>
    </row>
    <row r="81" ht="15.75" customHeight="1">
      <c r="B81" s="2"/>
      <c r="F81" s="2"/>
    </row>
    <row r="82" ht="15.75" customHeight="1">
      <c r="B82" s="2"/>
      <c r="F82" s="2"/>
    </row>
    <row r="83" ht="15.75" customHeight="1">
      <c r="B83" s="2"/>
      <c r="F83" s="2"/>
    </row>
    <row r="84" ht="15.75" customHeight="1">
      <c r="B84" s="2"/>
      <c r="F84" s="2"/>
    </row>
    <row r="85" ht="15.75" customHeight="1">
      <c r="B85" s="2"/>
      <c r="F85" s="2"/>
    </row>
    <row r="86" ht="15.75" customHeight="1">
      <c r="B86" s="2"/>
      <c r="F86" s="2"/>
    </row>
    <row r="87" ht="15.75" customHeight="1">
      <c r="B87" s="2"/>
      <c r="F87" s="2"/>
    </row>
    <row r="88" ht="15.75" customHeight="1">
      <c r="B88" s="2"/>
      <c r="F88" s="2"/>
    </row>
    <row r="89" ht="15.75" customHeight="1">
      <c r="B89" s="2"/>
      <c r="F89" s="2"/>
    </row>
    <row r="90" ht="15.75" customHeight="1">
      <c r="B90" s="2"/>
      <c r="F90" s="2"/>
    </row>
    <row r="91" ht="15.75" customHeight="1">
      <c r="B91" s="2"/>
      <c r="F91" s="2"/>
    </row>
    <row r="92" ht="15.75" customHeight="1">
      <c r="B92" s="2"/>
      <c r="F92" s="2"/>
    </row>
    <row r="93" ht="15.75" customHeight="1">
      <c r="B93" s="2"/>
      <c r="F93" s="2"/>
    </row>
    <row r="94" ht="15.75" customHeight="1">
      <c r="B94" s="2"/>
      <c r="F94" s="2"/>
    </row>
    <row r="95" ht="15.75" customHeight="1">
      <c r="B95" s="2"/>
      <c r="F95" s="2"/>
    </row>
    <row r="96" ht="15.75" customHeight="1">
      <c r="B96" s="2"/>
      <c r="F96" s="2"/>
    </row>
    <row r="97" ht="15.75" customHeight="1">
      <c r="B97" s="2"/>
      <c r="F97" s="2"/>
    </row>
    <row r="98" ht="15.75" customHeight="1">
      <c r="B98" s="2"/>
      <c r="F98" s="2"/>
    </row>
    <row r="99" ht="15.75" customHeight="1">
      <c r="B99" s="2"/>
      <c r="F99" s="2"/>
    </row>
    <row r="100" ht="15.75" customHeight="1">
      <c r="B100" s="2"/>
      <c r="F100" s="2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2:J2"/>
  </mergeCells>
  <dataValidations>
    <dataValidation type="list" allowBlank="1" sqref="B5:B100">
      <formula1>"大工A,大工B,大工C,大工D,大工E"</formula1>
    </dataValidation>
    <dataValidation type="list" allowBlank="1" sqref="F5:F100">
      <formula1>"施工中,予定,完了"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.0"/>
    <col customWidth="1" min="2" max="6" width="16.0"/>
    <col customWidth="1" min="7" max="26" width="8.71"/>
  </cols>
  <sheetData>
    <row r="1">
      <c r="A1" s="1" t="s">
        <v>2</v>
      </c>
    </row>
    <row r="3">
      <c r="A3" s="3" t="s">
        <v>6</v>
      </c>
      <c r="B3" s="3" t="s">
        <v>10</v>
      </c>
      <c r="C3" s="3" t="s">
        <v>13</v>
      </c>
      <c r="D3" s="3" t="s">
        <v>16</v>
      </c>
      <c r="E3" s="3" t="s">
        <v>18</v>
      </c>
      <c r="F3" s="3" t="s">
        <v>21</v>
      </c>
    </row>
    <row r="4">
      <c r="A4" s="6" t="s">
        <v>24</v>
      </c>
      <c r="B4" s="6" t="str">
        <f>'② 空き自動表示型'!A5</f>
        <v>A様邸</v>
      </c>
      <c r="C4" s="11">
        <f>'② 空き自動表示型'!E5</f>
        <v>46277</v>
      </c>
      <c r="D4" s="6" t="str">
        <f>'② 空き自動表示型'!A6</f>
        <v>B様邸</v>
      </c>
      <c r="E4" s="11">
        <f>'② 空き自動表示型'!D6</f>
        <v>46279</v>
      </c>
      <c r="F4" s="6">
        <f t="shared" ref="F4:F8" si="1">E4-C4-1</f>
        <v>1</v>
      </c>
    </row>
    <row r="5">
      <c r="A5" s="6" t="s">
        <v>40</v>
      </c>
      <c r="B5" s="6" t="str">
        <f>'② 空き自動表示型'!A7</f>
        <v>C様邸</v>
      </c>
      <c r="C5" s="11">
        <f>'② 空き自動表示型'!E7</f>
        <v>46285</v>
      </c>
      <c r="D5" s="6" t="str">
        <f>'② 空き自動表示型'!A8</f>
        <v>D様邸</v>
      </c>
      <c r="E5" s="11">
        <f>'② 空き自動表示型'!D8</f>
        <v>46286</v>
      </c>
      <c r="F5" s="6">
        <f t="shared" si="1"/>
        <v>0</v>
      </c>
    </row>
    <row r="6">
      <c r="A6" s="6" t="s">
        <v>50</v>
      </c>
      <c r="B6" s="6" t="str">
        <f>'② 空き自動表示型'!A9</f>
        <v>E様邸</v>
      </c>
      <c r="C6" s="11">
        <f>'② 空き自動表示型'!E9</f>
        <v>46270</v>
      </c>
      <c r="D6" s="6" t="str">
        <f>'② 空き自動表示型'!A10</f>
        <v>F様邸</v>
      </c>
      <c r="E6" s="11">
        <f>'② 空き自動表示型'!D10</f>
        <v>46273</v>
      </c>
      <c r="F6" s="6">
        <f t="shared" si="1"/>
        <v>2</v>
      </c>
    </row>
    <row r="7">
      <c r="A7" s="6" t="s">
        <v>57</v>
      </c>
      <c r="B7" s="6" t="str">
        <f>'② 空き自動表示型'!A11</f>
        <v>G様邸</v>
      </c>
      <c r="C7" s="11">
        <f>'② 空き自動表示型'!E11</f>
        <v>46281</v>
      </c>
      <c r="D7" s="6" t="str">
        <f>'② 空き自動表示型'!A12</f>
        <v>H様邸</v>
      </c>
      <c r="E7" s="11">
        <f>'② 空き自動表示型'!D12</f>
        <v>46282</v>
      </c>
      <c r="F7" s="6">
        <f t="shared" si="1"/>
        <v>0</v>
      </c>
    </row>
    <row r="8">
      <c r="A8" s="6" t="s">
        <v>61</v>
      </c>
      <c r="B8" s="6" t="str">
        <f>'② 空き自動表示型'!A13</f>
        <v>I様邸</v>
      </c>
      <c r="C8" s="11">
        <f>'② 空き自動表示型'!E13</f>
        <v>46275</v>
      </c>
      <c r="D8" s="6" t="str">
        <f>'② 空き自動表示型'!A14</f>
        <v>J様邸</v>
      </c>
      <c r="E8" s="11">
        <f>'② 空き自動表示型'!D14</f>
        <v>46279</v>
      </c>
      <c r="F8" s="6">
        <f t="shared" si="1"/>
        <v>3</v>
      </c>
    </row>
    <row r="11">
      <c r="A11" s="17" t="s">
        <v>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11:F1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.0"/>
    <col customWidth="1" min="2" max="2" width="14.0"/>
    <col customWidth="1" min="3" max="3" width="12.0"/>
    <col customWidth="1" min="4" max="5" width="13.0"/>
    <col customWidth="1" min="6" max="6" width="10.0"/>
    <col customWidth="1" min="7" max="7" width="14.0"/>
    <col customWidth="1" min="8" max="8" width="18.0"/>
    <col customWidth="1" min="9" max="26" width="8.71"/>
  </cols>
  <sheetData>
    <row r="1">
      <c r="A1" s="1" t="s">
        <v>0</v>
      </c>
    </row>
    <row r="2">
      <c r="A2" s="2" t="s">
        <v>3</v>
      </c>
    </row>
    <row r="4">
      <c r="A4" s="3" t="s">
        <v>7</v>
      </c>
      <c r="B4" s="3" t="s">
        <v>8</v>
      </c>
      <c r="C4" s="3" t="s">
        <v>6</v>
      </c>
      <c r="D4" s="3" t="s">
        <v>11</v>
      </c>
      <c r="E4" s="3" t="s">
        <v>12</v>
      </c>
      <c r="F4" s="3" t="s">
        <v>22</v>
      </c>
      <c r="G4" s="3" t="s">
        <v>23</v>
      </c>
      <c r="H4" s="3" t="s">
        <v>17</v>
      </c>
    </row>
    <row r="5">
      <c r="A5" s="5" t="s">
        <v>25</v>
      </c>
      <c r="B5" s="5" t="s">
        <v>26</v>
      </c>
      <c r="C5" s="5" t="s">
        <v>24</v>
      </c>
      <c r="D5" s="7">
        <v>46258.0</v>
      </c>
      <c r="E5" s="7">
        <v>46277.0</v>
      </c>
      <c r="F5" s="5" t="s">
        <v>28</v>
      </c>
      <c r="G5" s="5">
        <v>1200000.0</v>
      </c>
      <c r="H5" s="5"/>
    </row>
    <row r="6">
      <c r="A6" s="5" t="s">
        <v>28</v>
      </c>
      <c r="B6" s="5" t="s">
        <v>29</v>
      </c>
      <c r="C6" s="5" t="s">
        <v>24</v>
      </c>
      <c r="D6" s="7">
        <v>46279.0</v>
      </c>
      <c r="E6" s="7">
        <v>46295.0</v>
      </c>
      <c r="F6" s="5" t="s">
        <v>28</v>
      </c>
      <c r="G6" s="5">
        <v>1400000.0</v>
      </c>
      <c r="H6" s="5"/>
    </row>
    <row r="7">
      <c r="A7" s="5" t="s">
        <v>33</v>
      </c>
      <c r="B7" s="5" t="s">
        <v>34</v>
      </c>
      <c r="C7" s="5" t="s">
        <v>24</v>
      </c>
      <c r="D7" s="7">
        <v>46300.0</v>
      </c>
      <c r="E7" s="7">
        <v>46318.0</v>
      </c>
      <c r="F7" s="5" t="s">
        <v>35</v>
      </c>
      <c r="G7" s="5">
        <v>1600000.0</v>
      </c>
      <c r="H7" s="5" t="s">
        <v>37</v>
      </c>
    </row>
    <row r="8">
      <c r="A8" s="5" t="s">
        <v>25</v>
      </c>
      <c r="B8" s="5" t="s">
        <v>39</v>
      </c>
      <c r="C8" s="5" t="s">
        <v>40</v>
      </c>
      <c r="D8" s="7">
        <v>46258.0</v>
      </c>
      <c r="E8" s="7">
        <v>46285.0</v>
      </c>
      <c r="F8" s="5" t="s">
        <v>28</v>
      </c>
      <c r="G8" s="5">
        <v>1800000.0</v>
      </c>
      <c r="H8" s="5"/>
    </row>
    <row r="9">
      <c r="A9" s="5" t="s">
        <v>28</v>
      </c>
      <c r="B9" s="5" t="s">
        <v>42</v>
      </c>
      <c r="C9" s="5" t="s">
        <v>40</v>
      </c>
      <c r="D9" s="7">
        <v>46286.0</v>
      </c>
      <c r="E9" s="7">
        <v>46305.0</v>
      </c>
      <c r="F9" s="5" t="s">
        <v>28</v>
      </c>
      <c r="G9" s="5">
        <v>1500000.0</v>
      </c>
      <c r="H9" s="5"/>
    </row>
    <row r="10">
      <c r="A10" s="5" t="s">
        <v>33</v>
      </c>
      <c r="B10" s="5" t="s">
        <v>45</v>
      </c>
      <c r="C10" s="5" t="s">
        <v>40</v>
      </c>
      <c r="D10" s="7">
        <v>46307.0</v>
      </c>
      <c r="E10" s="7">
        <v>46325.0</v>
      </c>
      <c r="F10" s="5" t="s">
        <v>46</v>
      </c>
      <c r="G10" s="5">
        <v>1700000.0</v>
      </c>
      <c r="H10" s="5" t="s">
        <v>47</v>
      </c>
    </row>
    <row r="11">
      <c r="A11" s="5" t="s">
        <v>25</v>
      </c>
      <c r="B11" s="5" t="s">
        <v>48</v>
      </c>
      <c r="C11" s="5" t="s">
        <v>50</v>
      </c>
      <c r="D11" s="7">
        <v>46258.0</v>
      </c>
      <c r="E11" s="7">
        <v>46270.0</v>
      </c>
      <c r="F11" s="5" t="s">
        <v>28</v>
      </c>
      <c r="G11" s="5">
        <v>900000.0</v>
      </c>
      <c r="H11" s="5"/>
    </row>
    <row r="12">
      <c r="A12" s="5" t="s">
        <v>28</v>
      </c>
      <c r="B12" s="5" t="s">
        <v>52</v>
      </c>
      <c r="C12" s="5" t="s">
        <v>50</v>
      </c>
      <c r="D12" s="7">
        <v>46273.0</v>
      </c>
      <c r="E12" s="7">
        <v>46290.0</v>
      </c>
      <c r="F12" s="5" t="s">
        <v>28</v>
      </c>
      <c r="G12" s="5">
        <v>1300000.0</v>
      </c>
      <c r="H12" s="5"/>
    </row>
    <row r="13">
      <c r="A13" s="5" t="s">
        <v>33</v>
      </c>
      <c r="B13" s="5" t="s">
        <v>54</v>
      </c>
      <c r="C13" s="5" t="s">
        <v>50</v>
      </c>
      <c r="D13" s="7">
        <v>46296.0</v>
      </c>
      <c r="E13" s="7">
        <v>46311.0</v>
      </c>
      <c r="F13" s="5" t="s">
        <v>55</v>
      </c>
      <c r="G13" s="5">
        <v>1100000.0</v>
      </c>
      <c r="H13" s="5"/>
    </row>
    <row r="14">
      <c r="A14" s="5" t="s">
        <v>25</v>
      </c>
      <c r="B14" s="5" t="s">
        <v>56</v>
      </c>
      <c r="C14" s="5" t="s">
        <v>57</v>
      </c>
      <c r="D14" s="7">
        <v>46261.0</v>
      </c>
      <c r="E14" s="7">
        <v>46281.0</v>
      </c>
      <c r="F14" s="5" t="s">
        <v>28</v>
      </c>
      <c r="G14" s="5">
        <v>1500000.0</v>
      </c>
      <c r="H14" s="5"/>
    </row>
    <row r="15">
      <c r="A15" s="5" t="s">
        <v>28</v>
      </c>
      <c r="B15" s="5" t="s">
        <v>58</v>
      </c>
      <c r="C15" s="5" t="s">
        <v>57</v>
      </c>
      <c r="D15" s="7">
        <v>46282.0</v>
      </c>
      <c r="E15" s="7">
        <v>46300.0</v>
      </c>
      <c r="F15" s="5" t="s">
        <v>28</v>
      </c>
      <c r="G15" s="5">
        <v>1600000.0</v>
      </c>
      <c r="H15" s="5"/>
    </row>
    <row r="16">
      <c r="A16" s="5" t="s">
        <v>33</v>
      </c>
      <c r="B16" s="5" t="s">
        <v>59</v>
      </c>
      <c r="C16" s="5" t="s">
        <v>57</v>
      </c>
      <c r="D16" s="7">
        <v>46301.0</v>
      </c>
      <c r="E16" s="7">
        <v>46319.0</v>
      </c>
      <c r="F16" s="5" t="s">
        <v>62</v>
      </c>
      <c r="G16" s="5">
        <v>1500000.0</v>
      </c>
      <c r="H16" s="5"/>
    </row>
    <row r="17">
      <c r="A17" s="5" t="s">
        <v>25</v>
      </c>
      <c r="B17" s="5" t="s">
        <v>60</v>
      </c>
      <c r="C17" s="5" t="s">
        <v>61</v>
      </c>
      <c r="D17" s="7">
        <v>46258.0</v>
      </c>
      <c r="E17" s="7">
        <v>46275.0</v>
      </c>
      <c r="F17" s="5" t="s">
        <v>28</v>
      </c>
      <c r="G17" s="5">
        <v>1000000.0</v>
      </c>
      <c r="H17" s="5"/>
    </row>
    <row r="18">
      <c r="A18" s="5" t="s">
        <v>28</v>
      </c>
      <c r="B18" s="5" t="s">
        <v>63</v>
      </c>
      <c r="C18" s="5" t="s">
        <v>61</v>
      </c>
      <c r="D18" s="7">
        <v>46279.0</v>
      </c>
      <c r="E18" s="7">
        <v>46297.0</v>
      </c>
      <c r="F18" s="5" t="s">
        <v>28</v>
      </c>
      <c r="G18" s="5">
        <v>1400000.0</v>
      </c>
      <c r="H18" s="5"/>
    </row>
    <row r="19">
      <c r="A19" s="5" t="s">
        <v>33</v>
      </c>
      <c r="B19" s="5" t="s">
        <v>64</v>
      </c>
      <c r="C19" s="5" t="s">
        <v>61</v>
      </c>
      <c r="D19" s="7">
        <v>46300.0</v>
      </c>
      <c r="E19" s="7">
        <v>46318.0</v>
      </c>
      <c r="F19" s="5" t="s">
        <v>55</v>
      </c>
      <c r="G19" s="5">
        <v>1500000.0</v>
      </c>
      <c r="H19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.0"/>
    <col customWidth="1" min="2" max="4" width="14.0"/>
    <col customWidth="1" min="5" max="5" width="12.0"/>
    <col customWidth="1" min="6" max="6" width="14.0"/>
    <col customWidth="1" min="7" max="26" width="8.71"/>
  </cols>
  <sheetData>
    <row r="1">
      <c r="A1" s="1" t="s">
        <v>69</v>
      </c>
    </row>
    <row r="3">
      <c r="A3" s="3" t="s">
        <v>6</v>
      </c>
      <c r="B3" s="3" t="s">
        <v>71</v>
      </c>
      <c r="C3" s="3" t="s">
        <v>16</v>
      </c>
      <c r="D3" s="3" t="s">
        <v>73</v>
      </c>
      <c r="E3" s="3" t="s">
        <v>74</v>
      </c>
      <c r="F3" s="3" t="s">
        <v>75</v>
      </c>
    </row>
    <row r="4">
      <c r="A4" s="6" t="s">
        <v>24</v>
      </c>
      <c r="B4" s="11">
        <f>'③ 経営・受注先行型'!E5+1</f>
        <v>46278</v>
      </c>
      <c r="C4" s="6" t="str">
        <f>'③ 経営・受注先行型'!B7</f>
        <v>K様邸</v>
      </c>
      <c r="D4" s="11">
        <f>'③ 経営・受注先行型'!D7</f>
        <v>46300</v>
      </c>
      <c r="E4" s="6">
        <f t="shared" ref="E4:E8" si="1">MAX(0,MIN(D4,DATE(2026,10,31))-MAX(B4,DATE(2026,10,1))+1)</f>
        <v>5</v>
      </c>
      <c r="F4" s="6" t="str">
        <f t="shared" ref="F4:F8" si="2">IF(D4&gt;DATE(2026,10,10),"OK","次案件確認")</f>
        <v>次案件確認</v>
      </c>
    </row>
    <row r="5">
      <c r="A5" s="6" t="s">
        <v>40</v>
      </c>
      <c r="B5" s="11">
        <f>'③ 経営・受注先行型'!E8+1</f>
        <v>46286</v>
      </c>
      <c r="C5" s="6" t="str">
        <f>'③ 経営・受注先行型'!B10</f>
        <v>L様邸</v>
      </c>
      <c r="D5" s="11">
        <f>'③ 経営・受注先行型'!D10</f>
        <v>46307</v>
      </c>
      <c r="E5" s="6">
        <f t="shared" si="1"/>
        <v>12</v>
      </c>
      <c r="F5" s="6" t="str">
        <f t="shared" si="2"/>
        <v>OK</v>
      </c>
    </row>
    <row r="6">
      <c r="A6" s="6" t="s">
        <v>50</v>
      </c>
      <c r="B6" s="11">
        <f>'③ 経営・受注先行型'!E11+1</f>
        <v>46271</v>
      </c>
      <c r="C6" s="6" t="str">
        <f>'③ 経営・受注先行型'!B13</f>
        <v>M様邸</v>
      </c>
      <c r="D6" s="11">
        <f>'③ 経営・受注先行型'!D13</f>
        <v>46296</v>
      </c>
      <c r="E6" s="6">
        <f t="shared" si="1"/>
        <v>1</v>
      </c>
      <c r="F6" s="6" t="str">
        <f t="shared" si="2"/>
        <v>次案件確認</v>
      </c>
    </row>
    <row r="7">
      <c r="A7" s="6" t="s">
        <v>57</v>
      </c>
      <c r="B7" s="11">
        <f>'③ 経営・受注先行型'!E14+1</f>
        <v>46282</v>
      </c>
      <c r="C7" s="6" t="str">
        <f>'③ 経営・受注先行型'!B16</f>
        <v>N様邸</v>
      </c>
      <c r="D7" s="11">
        <f>'③ 経営・受注先行型'!D16</f>
        <v>46301</v>
      </c>
      <c r="E7" s="6">
        <f t="shared" si="1"/>
        <v>6</v>
      </c>
      <c r="F7" s="6" t="str">
        <f t="shared" si="2"/>
        <v>次案件確認</v>
      </c>
    </row>
    <row r="8">
      <c r="A8" s="6" t="s">
        <v>61</v>
      </c>
      <c r="B8" s="11">
        <f>'③ 経営・受注先行型'!E17+1</f>
        <v>46276</v>
      </c>
      <c r="C8" s="6" t="str">
        <f>'③ 経営・受注先行型'!B19</f>
        <v>O様邸</v>
      </c>
      <c r="D8" s="11">
        <f>'③ 経営・受注先行型'!D19</f>
        <v>46300</v>
      </c>
      <c r="E8" s="6">
        <f t="shared" si="1"/>
        <v>5</v>
      </c>
      <c r="F8" s="6" t="str">
        <f t="shared" si="2"/>
        <v>次案件確認</v>
      </c>
    </row>
    <row r="11">
      <c r="A11" s="17" t="s">
        <v>78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11:F1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2026-08-19T04:01:56Z</dcterms:created>
  <dc:creator>openpyxl</dc:creator>
</cp:coreProperties>
</file>