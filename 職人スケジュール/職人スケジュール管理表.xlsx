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案件台帳" sheetId="2" state="visible" r:id="rId2"/>
    <sheet name="職人ダッシュボード" sheetId="3" state="visible" r:id="rId3"/>
    <sheet name="配置検討" sheetId="4" state="visible" r:id="rId4"/>
    <sheet name="稼働カレンダ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/m/d"/>
    <numFmt numFmtId="165" formatCode="yyyy-mm-dd"/>
    <numFmt numFmtId="166" formatCode="0&quot;日&quot;"/>
    <numFmt numFmtId="167" formatCode="m/d"/>
  </numFmts>
  <fonts count="13">
    <font>
      <name val="Calibri"/>
      <family val="2"/>
      <color theme="1"/>
      <sz val="11"/>
      <scheme val="minor"/>
    </font>
    <font>
      <name val="游ゴシック"/>
      <b val="1"/>
      <color rgb="FF000000"/>
      <sz val="14"/>
    </font>
    <font>
      <name val="游ゴシック"/>
      <b val="1"/>
      <color rgb="FFC00000"/>
      <sz val="10"/>
    </font>
    <font>
      <name val="游ゴシック"/>
      <b val="1"/>
      <color rgb="FF1F4E79"/>
      <sz val="11"/>
    </font>
    <font>
      <name val="游ゴシック"/>
      <b val="1"/>
      <color rgb="FF000000"/>
      <sz val="10"/>
    </font>
    <font>
      <name val="游ゴシック"/>
      <color rgb="FF000000"/>
      <sz val="10"/>
    </font>
    <font>
      <name val="游ゴシック"/>
      <color rgb="FF808080"/>
      <sz val="9"/>
    </font>
    <font>
      <name val="游ゴシック"/>
      <color rgb="FF0000FF"/>
      <sz val="10"/>
    </font>
    <font>
      <name val="游ゴシック"/>
      <b val="1"/>
      <color rgb="FFFFFFFF"/>
      <sz val="10"/>
    </font>
    <font>
      <name val="游ゴシック"/>
      <color rgb="FF008000"/>
      <sz val="10"/>
    </font>
    <font>
      <name val="游ゴシック"/>
      <color rgb="FF000000"/>
      <sz val="8"/>
    </font>
    <font>
      <name val="游ゴシック"/>
      <color rgb="FF2E75B6"/>
      <sz val="8"/>
    </font>
    <font>
      <name val="游ゴシック"/>
      <b val="1"/>
      <color rgb="FF000000"/>
      <sz val="8"/>
    </font>
  </fonts>
  <fills count="7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7F7F7F"/>
      </patternFill>
    </fill>
    <fill>
      <patternFill patternType="solid">
        <fgColor rgb="FFF2F2F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164" fontId="7" fillId="2" borderId="1" pivotButton="0" quotePrefix="0" xfId="0"/>
    <xf numFmtId="0" fontId="8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2" borderId="1" pivotButton="0" quotePrefix="0" xfId="0"/>
    <xf numFmtId="0" fontId="5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164" fontId="9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7" fillId="2" borderId="1" pivotButton="0" quotePrefix="0" xfId="0"/>
    <xf numFmtId="164" fontId="5" fillId="5" borderId="1" pivotButton="0" quotePrefix="0" xfId="0"/>
    <xf numFmtId="0" fontId="9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/>
    </xf>
    <xf numFmtId="0" fontId="8" fillId="3" borderId="0" applyAlignment="1" pivotButton="0" quotePrefix="0" xfId="0">
      <alignment horizontal="center" vertical="center"/>
    </xf>
    <xf numFmtId="167" fontId="10" fillId="6" borderId="1" applyAlignment="1" pivotButton="0" quotePrefix="0" xfId="0">
      <alignment horizontal="center" vertical="center" textRotation="90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8">
    <dxf>
      <font>
        <name val="游ゴシック"/>
        <color rgb="FFC00000"/>
        <sz val="10"/>
      </font>
      <fill>
        <patternFill patternType="solid">
          <fgColor rgb="FFFCE4D6"/>
        </patternFill>
      </fill>
    </dxf>
    <dxf>
      <font>
        <name val="游ゴシック"/>
        <b val="1"/>
        <color rgb="FFC00000"/>
        <sz val="10"/>
      </font>
      <fill>
        <patternFill patternType="solid">
          <fgColor rgb="FFFCE4D6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ont>
        <name val="游ゴシック"/>
        <b val="1"/>
        <color rgb="FFC00000"/>
        <sz val="10"/>
      </font>
    </dxf>
    <dxf>
      <fill>
        <patternFill patternType="solid">
          <fgColor rgb="FFBDD7EE"/>
        </patternFill>
      </fill>
    </dxf>
    <dxf>
      <fill>
        <patternFill patternType="solid">
          <fgColor rgb="FF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職人スケジュール管理表</author>
  </authors>
  <commentList>
    <comment ref="B3" authorId="0" shapeId="0">
      <text>
        <t>=TODAY() で毎日自動更新。将来の日付でシミュレーションする場合は日付を直接入力して上書きしてください。</t>
      </text>
    </comment>
    <comment ref="J5" authorId="0" shapeId="0">
      <text>
        <t>J〜L列は他シートが職人名で引き当てるための作業列です。編集・削除しないでください。
J=基準日に稼働中の案件／K=次に始まる案件／L=直前に終わった案件 に、その職人名が入ります。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6" customWidth="1" min="3" max="3"/>
  </cols>
  <sheetData>
    <row r="1">
      <c r="B1" s="1" t="inlineStr">
        <is>
          <t>職人スケジュール管理表（石善建設）</t>
        </is>
      </c>
    </row>
    <row r="2">
      <c r="B2" s="2" t="inlineStr">
        <is>
          <t>入力するのは「案件台帳」シートだけ。ほかの3シートは全部自動計算です。</t>
        </is>
      </c>
    </row>
    <row r="4">
      <c r="B4" s="3" t="inlineStr">
        <is>
          <t>■ シートの構成</t>
        </is>
      </c>
    </row>
    <row r="5" ht="16" customHeight="1">
      <c r="B5" s="4" t="inlineStr">
        <is>
          <t>① 案件台帳（入力）</t>
        </is>
      </c>
      <c r="C5" s="5" t="inlineStr">
        <is>
          <t>唯一の入力シート。1行＝1職人×1案件。物件名・職人・開始日・終了予定日を入れるだけ。黄色セルが入力欄。</t>
        </is>
      </c>
    </row>
    <row r="6" ht="16" customHeight="1">
      <c r="B6" s="4" t="inlineStr">
        <is>
          <t>② 職人ダッシュボード</t>
        </is>
      </c>
      <c r="C6" s="5" t="inlineStr">
        <is>
          <t>職人ごとに「今の仕事（開始日・終了予定日・工期日数・残り日数）」「次の仕事」「次の仕事までの空き日数」を自動表示。</t>
        </is>
      </c>
    </row>
    <row r="7" ht="16" customHeight="1">
      <c r="B7" s="4" t="inlineStr">
        <is>
          <t>③ 配置検討</t>
        </is>
      </c>
      <c r="C7" s="5" t="inlineStr">
        <is>
          <t>次に受ける仕事の希望開始日と工期を入れると、誰が空いていて誰を配置すべきか（◎△×・推奨順位）を自動判定。</t>
        </is>
      </c>
    </row>
    <row r="8" ht="16" customHeight="1">
      <c r="B8" s="4" t="inlineStr">
        <is>
          <t>④ 稼働カレンダー</t>
        </is>
      </c>
      <c r="C8" s="5" t="inlineStr">
        <is>
          <t>基準日から63日分の稼働／空きを職人×日付のマス目で表示。青＝稼働、黄＝空き。</t>
        </is>
      </c>
    </row>
    <row r="10">
      <c r="B10" s="3" t="inlineStr">
        <is>
          <t>■ 使う手順</t>
        </is>
      </c>
    </row>
    <row r="11" ht="30" customHeight="1">
      <c r="B11" s="4" t="inlineStr">
        <is>
          <t>手順1</t>
        </is>
      </c>
      <c r="C11" s="5" t="inlineStr">
        <is>
          <t>「案件台帳」に、いま動いている現場と、決まっている次の現場を職人ごとに1行ずつ入力する（過去の完了案件も残しておくと空き期間が正しく出ます）。</t>
        </is>
      </c>
    </row>
    <row r="12" ht="16" customHeight="1">
      <c r="B12" s="4" t="inlineStr">
        <is>
          <t>手順2</t>
        </is>
      </c>
      <c r="C12" s="5" t="inlineStr">
        <is>
          <t>「職人ダッシュボード」を見る。アラート欄が⚠の職人が、手当てが必要な職人。</t>
        </is>
      </c>
    </row>
    <row r="13" ht="16" customHeight="1">
      <c r="B13" s="4" t="inlineStr">
        <is>
          <t>手順3</t>
        </is>
      </c>
      <c r="C13" s="5" t="inlineStr">
        <is>
          <t>新しい引き合いが来たら「配置検討」の黄色セルに希望開始日と必要工期を入れ、判定◎かつ推奨順位1位の職人を候補にする。</t>
        </is>
      </c>
    </row>
    <row r="14" ht="16" customHeight="1">
      <c r="B14" s="4" t="inlineStr">
        <is>
          <t>手順4</t>
        </is>
      </c>
      <c r="C14" s="5" t="inlineStr">
        <is>
          <t>決まったら「案件台帳」に1行追加する。ダッシュボードとカレンダーは自動で更新される。</t>
        </is>
      </c>
    </row>
    <row r="16">
      <c r="B16" s="3" t="inlineStr">
        <is>
          <t>■ 用語の定義</t>
        </is>
      </c>
    </row>
    <row r="17" ht="30" customHeight="1">
      <c r="B17" s="4" t="inlineStr">
        <is>
          <t>基準日</t>
        </is>
      </c>
      <c r="C17" s="5" t="inlineStr">
        <is>
          <t>「案件台帳」B3。=TODAY() が入っているので開くたび今日の日付になります。将来の日付でシミュレーションしたい時は、日付を直接打ち込んで上書きしてください。</t>
        </is>
      </c>
    </row>
    <row r="18" ht="16" customHeight="1">
      <c r="B18" s="4" t="inlineStr">
        <is>
          <t>工期日数</t>
        </is>
      </c>
      <c r="C18" s="5" t="inlineStr">
        <is>
          <t>終了予定日 − 開始日 ＋ 1（初日と最終日を両方数えた日数）。</t>
        </is>
      </c>
    </row>
    <row r="19" ht="16" customHeight="1">
      <c r="B19" s="4" t="inlineStr">
        <is>
          <t>経過日数</t>
        </is>
      </c>
      <c r="C19" s="5" t="inlineStr">
        <is>
          <t>基準日 − 開始日 ＋ 1。今の現場に何日入っているか。</t>
        </is>
      </c>
    </row>
    <row r="20" ht="16" customHeight="1">
      <c r="B20" s="4" t="inlineStr">
        <is>
          <t>残り日数</t>
        </is>
      </c>
      <c r="C20" s="5" t="inlineStr">
        <is>
          <t>終了予定日 − 基準日。今の現場があと何日残っているか。</t>
        </is>
      </c>
    </row>
    <row r="21" ht="16" customHeight="1">
      <c r="B21" s="4" t="inlineStr">
        <is>
          <t>空き開始日</t>
        </is>
      </c>
      <c r="C21" s="5" t="inlineStr">
        <is>
          <t>稼働中なら「今の現場の終了予定日＋1」、空き中なら「直前に終わった現場の終了日＋1」。手が空く日。</t>
        </is>
      </c>
    </row>
    <row r="22" ht="16" customHeight="1">
      <c r="B22" s="4" t="inlineStr">
        <is>
          <t>次の仕事までの空き日数</t>
        </is>
      </c>
      <c r="C22" s="5" t="inlineStr">
        <is>
          <t>次回開始日 − 空き開始日。現場と現場のあいだが何日空くか（0＝連続、マイナス＝重複）。</t>
        </is>
      </c>
    </row>
    <row r="23" ht="16" customHeight="1">
      <c r="B23" s="4" t="inlineStr">
        <is>
          <t>本日以降の空き日数</t>
        </is>
      </c>
      <c r="C23" s="5" t="inlineStr">
        <is>
          <t>基準日から次回開始日までの空き日数。すでに空いている職人の「あと何日空いているか」。</t>
        </is>
      </c>
    </row>
    <row r="25">
      <c r="B25" s="3" t="inlineStr">
        <is>
          <t>■ アラートの意味（職人ダッシュボード 最終列）</t>
        </is>
      </c>
    </row>
    <row r="26" ht="16" customHeight="1">
      <c r="B26" s="4" t="inlineStr">
        <is>
          <t>⚠ 重複配置</t>
        </is>
      </c>
      <c r="C26" s="5" t="inlineStr">
        <is>
          <t>同じ日に2件以上の現場が重なっている。台帳を確認。</t>
        </is>
      </c>
    </row>
    <row r="27" ht="16" customHeight="1">
      <c r="B27" s="4" t="inlineStr">
        <is>
          <t>⚠ 終了予定日が未入力</t>
        </is>
      </c>
      <c r="C27" s="5" t="inlineStr">
        <is>
          <t>終了日が空欄の案件があるため、空き日数もカレンダーも正しく出ない。最優先で埋める。</t>
        </is>
      </c>
    </row>
    <row r="28" ht="16" customHeight="1">
      <c r="B28" s="4" t="inlineStr">
        <is>
          <t>⚠ 次の仕事が未定</t>
        </is>
      </c>
      <c r="C28" s="5" t="inlineStr">
        <is>
          <t>次の現場が台帳にない。営業・見積を前倒しで動かす。</t>
        </is>
      </c>
    </row>
    <row r="29" ht="16" customHeight="1">
      <c r="B29" s="4" t="inlineStr">
        <is>
          <t>⚠ 空き◯日</t>
        </is>
      </c>
      <c r="C29" s="5" t="inlineStr">
        <is>
          <t>7日以上の空きがある。短工期の仕事（改修・メンテ）を差し込む検討を。</t>
        </is>
      </c>
    </row>
    <row r="30" ht="16" customHeight="1">
      <c r="B30" s="4" t="inlineStr">
        <is>
          <t>連続稼働（余裕なし）</t>
        </is>
      </c>
      <c r="C30" s="5" t="inlineStr">
        <is>
          <t>空き0日。段取り・材料手配・天候遅延の余裕がないので注意。</t>
        </is>
      </c>
    </row>
    <row r="32">
      <c r="B32" s="3" t="inlineStr">
        <is>
          <t>■ いま埋まっていないデータ（元ファイル「①シンプル型」の時点で空欄だったもの）</t>
        </is>
      </c>
    </row>
    <row r="33" ht="16" customHeight="1">
      <c r="B33" s="4" t="inlineStr">
        <is>
          <t>松田</t>
        </is>
      </c>
      <c r="C33" s="5" t="inlineStr">
        <is>
          <t>一条（菅野様邸）の開始日が未入力。</t>
        </is>
      </c>
    </row>
    <row r="34" ht="16" customHeight="1">
      <c r="B34" s="4" t="inlineStr">
        <is>
          <t>重田・田中</t>
        </is>
      </c>
      <c r="C34" s="5" t="inlineStr">
        <is>
          <t>三栄港運（潮見）の終了予定日が未入力。前案件の物件名・開始日も未記載。</t>
        </is>
      </c>
    </row>
    <row r="35" ht="16" customHeight="1">
      <c r="B35" s="4" t="inlineStr">
        <is>
          <t>多田・松田・原田</t>
        </is>
      </c>
      <c r="C35" s="5" t="inlineStr">
        <is>
          <t>次案件の物件名と終了予定日が未入力（開始予定日のみ判明）。</t>
        </is>
      </c>
    </row>
    <row r="36" ht="32" customHeight="1">
      <c r="C36" s="6" t="inlineStr">
        <is>
          <t>※ この4件は元データに無かったため空欄のままにしています。推測で日付は入れていません。埋めるとダッシュボードとカレンダーが完成します。</t>
        </is>
      </c>
    </row>
    <row r="38">
      <c r="B38" s="3" t="inlineStr">
        <is>
          <t>■ 元データの出典</t>
        </is>
      </c>
    </row>
    <row r="39" ht="32" customHeight="1">
      <c r="C39" s="6" t="inlineStr">
        <is>
          <t>職人名・物件名・日付は、アップロードされた「職人5人スケジュール3パターン」の「①シンプル型」シートの内容をそのまま転記したものです。②③シートのサンプル（大工A〜E／A様邸〜O様邸）は実データではないため取り込んでいません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9" customWidth="1" min="3" max="3"/>
    <col width="12" customWidth="1" min="4" max="4"/>
    <col width="12" customWidth="1" min="5" max="5"/>
    <col width="12" customWidth="1" min="6" max="6"/>
    <col width="15" customWidth="1" min="7" max="7"/>
    <col width="9" customWidth="1" min="8" max="8"/>
    <col width="40" customWidth="1" min="9" max="9"/>
    <col width="10" customWidth="1" min="10" max="10"/>
    <col width="11" customWidth="1" min="11" max="11"/>
    <col width="12" customWidth="1" min="12" max="12"/>
  </cols>
  <sheetData>
    <row r="1">
      <c r="A1" s="1" t="inlineStr">
        <is>
          <t>① 案件台帳（このシートだけ入力します）</t>
        </is>
      </c>
    </row>
    <row r="2">
      <c r="A2" s="7" t="inlineStr">
        <is>
          <t>1行＝1職人×1案件。完了した案件も消さずに残すと、次の仕事までの空き日数が正しく計算されます。黄色＝入力欄／灰色＝自動計算（触らない）。</t>
        </is>
      </c>
    </row>
    <row r="3">
      <c r="A3" s="4" t="inlineStr">
        <is>
          <t>基準日（今日）</t>
        </is>
      </c>
      <c r="B3" s="8">
        <f>TODAY()</f>
        <v/>
      </c>
      <c r="C3" s="7" t="inlineStr">
        <is>
          <t>← すべての判定（施工中／空き／空き日数）はこの日を基準に計算します</t>
        </is>
      </c>
    </row>
    <row r="5">
      <c r="A5" s="9" t="inlineStr">
        <is>
          <t>No</t>
        </is>
      </c>
      <c r="B5" s="9" t="inlineStr">
        <is>
          <t>物件名</t>
        </is>
      </c>
      <c r="C5" s="9" t="inlineStr">
        <is>
          <t>職人</t>
        </is>
      </c>
      <c r="D5" s="9" t="inlineStr">
        <is>
          <t>工程</t>
        </is>
      </c>
      <c r="E5" s="9" t="inlineStr">
        <is>
          <t>開始日</t>
        </is>
      </c>
      <c r="F5" s="9" t="inlineStr">
        <is>
          <t>終了予定日</t>
        </is>
      </c>
      <c r="G5" s="10" t="inlineStr">
        <is>
          <t>状況</t>
        </is>
      </c>
      <c r="H5" s="10" t="inlineStr">
        <is>
          <t>工期日数</t>
        </is>
      </c>
      <c r="I5" s="9" t="inlineStr">
        <is>
          <t>備考</t>
        </is>
      </c>
      <c r="J5" s="10" t="inlineStr">
        <is>
          <t>自動:現在</t>
        </is>
      </c>
      <c r="K5" s="10" t="inlineStr">
        <is>
          <t>自動:次案件</t>
        </is>
      </c>
      <c r="L5" s="10" t="inlineStr">
        <is>
          <t>自動:直前完了</t>
        </is>
      </c>
    </row>
    <row r="6">
      <c r="A6" s="11" t="n">
        <v>1</v>
      </c>
      <c r="B6" s="12" t="inlineStr">
        <is>
          <t>一条（菅野様邸）</t>
        </is>
      </c>
      <c r="C6" s="12" t="inlineStr">
        <is>
          <t>多田</t>
        </is>
      </c>
      <c r="D6" s="12" t="n"/>
      <c r="E6" s="8" t="n">
        <v>46226</v>
      </c>
      <c r="F6" s="8" t="n">
        <v>46262</v>
      </c>
      <c r="G6" s="13">
        <f>IF($C6="","",IF(AND($E6&lt;&gt;"",$E6&gt;$B$3),"予定",IF($F6="","要確認（終了日未入力）",IF($F6&lt;$B$3,"完了","施工中"))))</f>
        <v/>
      </c>
      <c r="H6" s="13">
        <f>IF(OR($E6="",$F6=""),"",$F6-$E6+1)</f>
        <v/>
      </c>
      <c r="I6" s="12" t="inlineStr">
        <is>
          <t>元表①より</t>
        </is>
      </c>
      <c r="J6" s="14">
        <f>IF($C6="","",IF(AND($F6&lt;&gt;"",$F6&gt;=$B$3,$E6&lt;=$B$3),$C6,""))</f>
        <v/>
      </c>
      <c r="K6" s="14">
        <f>IF($C6="","",IF(AND($E6&lt;&gt;"",$E6&gt;$B$3,COUNTIFS($C$6:$C$65,$C6,$E$6:$E$65,"&gt;"&amp;$B$3,$E$6:$E$65,"&lt;"&amp;$E6)=0),$C6,""))</f>
        <v/>
      </c>
      <c r="L6" s="14">
        <f>IF($C6="","",IF(AND($F6&lt;&gt;"",$F6&lt;$B$3,COUNTIFS($C$6:$C$65,$C6,$F$6:$F$65,"&lt;"&amp;$B$3,$F$6:$F$65,"&gt;"&amp;$F6)=0),$C6,""))</f>
        <v/>
      </c>
    </row>
    <row r="7">
      <c r="A7" s="11" t="n">
        <v>2</v>
      </c>
      <c r="B7" s="12" t="inlineStr">
        <is>
          <t>（次案件・物件名未定）</t>
        </is>
      </c>
      <c r="C7" s="12" t="inlineStr">
        <is>
          <t>多田</t>
        </is>
      </c>
      <c r="D7" s="12" t="n"/>
      <c r="E7" s="8" t="n">
        <v>46279</v>
      </c>
      <c r="F7" s="8" t="n"/>
      <c r="G7" s="13">
        <f>IF($C7="","",IF(AND($E7&lt;&gt;"",$E7&gt;$B$3),"予定",IF($F7="","要確認（終了日未入力）",IF($F7&lt;$B$3,"完了","施工中"))))</f>
        <v/>
      </c>
      <c r="H7" s="13">
        <f>IF(OR($E7="",$F7=""),"",$F7-$E7+1)</f>
        <v/>
      </c>
      <c r="I7" s="12" t="inlineStr">
        <is>
          <t>開始予定のみ判明。物件名と終了予定日を入力してください</t>
        </is>
      </c>
      <c r="J7" s="14">
        <f>IF($C7="","",IF(AND($F7&lt;&gt;"",$F7&gt;=$B$3,$E7&lt;=$B$3),$C7,""))</f>
        <v/>
      </c>
      <c r="K7" s="14">
        <f>IF($C7="","",IF(AND($E7&lt;&gt;"",$E7&gt;$B$3,COUNTIFS($C$6:$C$65,$C7,$E$6:$E$65,"&gt;"&amp;$B$3,$E$6:$E$65,"&lt;"&amp;$E7)=0),$C7,""))</f>
        <v/>
      </c>
      <c r="L7" s="14">
        <f>IF($C7="","",IF(AND($F7&lt;&gt;"",$F7&lt;$B$3,COUNTIFS($C$6:$C$65,$C7,$F$6:$F$65,"&lt;"&amp;$B$3,$F$6:$F$65,"&gt;"&amp;$F7)=0),$C7,""))</f>
        <v/>
      </c>
    </row>
    <row r="8">
      <c r="A8" s="11" t="n">
        <v>3</v>
      </c>
      <c r="B8" s="12" t="inlineStr">
        <is>
          <t>一条（菅野様邸）</t>
        </is>
      </c>
      <c r="C8" s="12" t="inlineStr">
        <is>
          <t>松田</t>
        </is>
      </c>
      <c r="D8" s="12" t="n"/>
      <c r="E8" s="8" t="n"/>
      <c r="F8" s="8" t="n">
        <v>46262</v>
      </c>
      <c r="G8" s="13">
        <f>IF($C8="","",IF(AND($E8&lt;&gt;"",$E8&gt;$B$3),"予定",IF($F8="","要確認（終了日未入力）",IF($F8&lt;$B$3,"完了","施工中"))))</f>
        <v/>
      </c>
      <c r="H8" s="13">
        <f>IF(OR($E8="",$F8=""),"",$F8-$E8+1)</f>
        <v/>
      </c>
      <c r="I8" s="12" t="inlineStr">
        <is>
          <t>開始日が未入力（元表①も空欄）</t>
        </is>
      </c>
      <c r="J8" s="14">
        <f>IF($C8="","",IF(AND($F8&lt;&gt;"",$F8&gt;=$B$3,$E8&lt;=$B$3),$C8,""))</f>
        <v/>
      </c>
      <c r="K8" s="14">
        <f>IF($C8="","",IF(AND($E8&lt;&gt;"",$E8&gt;$B$3,COUNTIFS($C$6:$C$65,$C8,$E$6:$E$65,"&gt;"&amp;$B$3,$E$6:$E$65,"&lt;"&amp;$E8)=0),$C8,""))</f>
        <v/>
      </c>
      <c r="L8" s="14">
        <f>IF($C8="","",IF(AND($F8&lt;&gt;"",$F8&lt;$B$3,COUNTIFS($C$6:$C$65,$C8,$F$6:$F$65,"&lt;"&amp;$B$3,$F$6:$F$65,"&gt;"&amp;$F8)=0),$C8,""))</f>
        <v/>
      </c>
    </row>
    <row r="9">
      <c r="A9" s="11" t="n">
        <v>4</v>
      </c>
      <c r="B9" s="12" t="inlineStr">
        <is>
          <t>（次案件・物件名未定）</t>
        </is>
      </c>
      <c r="C9" s="12" t="inlineStr">
        <is>
          <t>松田</t>
        </is>
      </c>
      <c r="D9" s="12" t="n"/>
      <c r="E9" s="8" t="n">
        <v>46286</v>
      </c>
      <c r="F9" s="8" t="n"/>
      <c r="G9" s="13">
        <f>IF($C9="","",IF(AND($E9&lt;&gt;"",$E9&gt;$B$3),"予定",IF($F9="","要確認（終了日未入力）",IF($F9&lt;$B$3,"完了","施工中"))))</f>
        <v/>
      </c>
      <c r="H9" s="13">
        <f>IF(OR($E9="",$F9=""),"",$F9-$E9+1)</f>
        <v/>
      </c>
      <c r="I9" s="12" t="inlineStr">
        <is>
          <t>開始予定のみ判明。物件名と終了予定日を入力してください</t>
        </is>
      </c>
      <c r="J9" s="14">
        <f>IF($C9="","",IF(AND($F9&lt;&gt;"",$F9&gt;=$B$3,$E9&lt;=$B$3),$C9,""))</f>
        <v/>
      </c>
      <c r="K9" s="14">
        <f>IF($C9="","",IF(AND($E9&lt;&gt;"",$E9&gt;$B$3,COUNTIFS($C$6:$C$65,$C9,$E$6:$E$65,"&gt;"&amp;$B$3,$E$6:$E$65,"&lt;"&amp;$E9)=0),$C9,""))</f>
        <v/>
      </c>
      <c r="L9" s="14">
        <f>IF($C9="","",IF(AND($F9&lt;&gt;"",$F9&lt;$B$3,COUNTIFS($C$6:$C$65,$C9,$F$6:$F$65,"&lt;"&amp;$B$3,$F$6:$F$65,"&gt;"&amp;$F9)=0),$C9,""))</f>
        <v/>
      </c>
    </row>
    <row r="10">
      <c r="A10" s="11" t="n">
        <v>5</v>
      </c>
      <c r="B10" s="12" t="inlineStr">
        <is>
          <t>（前案件・物件名未記載）</t>
        </is>
      </c>
      <c r="C10" s="12" t="inlineStr">
        <is>
          <t>重田</t>
        </is>
      </c>
      <c r="D10" s="12" t="n"/>
      <c r="E10" s="8" t="n"/>
      <c r="F10" s="8" t="n">
        <v>46223</v>
      </c>
      <c r="G10" s="13">
        <f>IF($C10="","",IF(AND($E10&lt;&gt;"",$E10&gt;$B$3),"予定",IF($F10="","要確認（終了日未入力）",IF($F10&lt;$B$3,"完了","施工中"))))</f>
        <v/>
      </c>
      <c r="H10" s="13">
        <f>IF(OR($E10="",$F10=""),"",$F10-$E10+1)</f>
        <v/>
      </c>
      <c r="I10" s="12" t="inlineStr">
        <is>
          <t>元表①では終了日のみ記載</t>
        </is>
      </c>
      <c r="J10" s="14">
        <f>IF($C10="","",IF(AND($F10&lt;&gt;"",$F10&gt;=$B$3,$E10&lt;=$B$3),$C10,""))</f>
        <v/>
      </c>
      <c r="K10" s="14">
        <f>IF($C10="","",IF(AND($E10&lt;&gt;"",$E10&gt;$B$3,COUNTIFS($C$6:$C$65,$C10,$E$6:$E$65,"&gt;"&amp;$B$3,$E$6:$E$65,"&lt;"&amp;$E10)=0),$C10,""))</f>
        <v/>
      </c>
      <c r="L10" s="14">
        <f>IF($C10="","",IF(AND($F10&lt;&gt;"",$F10&lt;$B$3,COUNTIFS($C$6:$C$65,$C10,$F$6:$F$65,"&lt;"&amp;$B$3,$F$6:$F$65,"&gt;"&amp;$F10)=0),$C10,""))</f>
        <v/>
      </c>
    </row>
    <row r="11">
      <c r="A11" s="11" t="n">
        <v>6</v>
      </c>
      <c r="B11" s="12" t="inlineStr">
        <is>
          <t>三栄港運（潮見）</t>
        </is>
      </c>
      <c r="C11" s="12" t="inlineStr">
        <is>
          <t>重田</t>
        </is>
      </c>
      <c r="D11" s="12" t="n"/>
      <c r="E11" s="8" t="n">
        <v>46259</v>
      </c>
      <c r="F11" s="8" t="n"/>
      <c r="G11" s="13">
        <f>IF($C11="","",IF(AND($E11&lt;&gt;"",$E11&gt;$B$3),"予定",IF($F11="","要確認（終了日未入力）",IF($F11&lt;$B$3,"完了","施工中"))))</f>
        <v/>
      </c>
      <c r="H11" s="13">
        <f>IF(OR($E11="",$F11=""),"",$F11-$E11+1)</f>
        <v/>
      </c>
      <c r="I11" s="12" t="inlineStr">
        <is>
          <t>終了予定日を入力してください</t>
        </is>
      </c>
      <c r="J11" s="14">
        <f>IF($C11="","",IF(AND($F11&lt;&gt;"",$F11&gt;=$B$3,$E11&lt;=$B$3),$C11,""))</f>
        <v/>
      </c>
      <c r="K11" s="14">
        <f>IF($C11="","",IF(AND($E11&lt;&gt;"",$E11&gt;$B$3,COUNTIFS($C$6:$C$65,$C11,$E$6:$E$65,"&gt;"&amp;$B$3,$E$6:$E$65,"&lt;"&amp;$E11)=0),$C11,""))</f>
        <v/>
      </c>
      <c r="L11" s="14">
        <f>IF($C11="","",IF(AND($F11&lt;&gt;"",$F11&lt;$B$3,COUNTIFS($C$6:$C$65,$C11,$F$6:$F$65,"&lt;"&amp;$B$3,$F$6:$F$65,"&gt;"&amp;$F11)=0),$C11,""))</f>
        <v/>
      </c>
    </row>
    <row r="12">
      <c r="A12" s="11" t="n">
        <v>7</v>
      </c>
      <c r="B12" s="12" t="inlineStr">
        <is>
          <t>垣内邸</t>
        </is>
      </c>
      <c r="C12" s="12" t="inlineStr">
        <is>
          <t>原田</t>
        </is>
      </c>
      <c r="D12" s="12" t="n"/>
      <c r="E12" s="8" t="n">
        <v>46219</v>
      </c>
      <c r="F12" s="8" t="n">
        <v>46281</v>
      </c>
      <c r="G12" s="13">
        <f>IF($C12="","",IF(AND($E12&lt;&gt;"",$E12&gt;$B$3),"予定",IF($F12="","要確認（終了日未入力）",IF($F12&lt;$B$3,"完了","施工中"))))</f>
        <v/>
      </c>
      <c r="H12" s="13">
        <f>IF(OR($E12="",$F12=""),"",$F12-$E12+1)</f>
        <v/>
      </c>
      <c r="I12" s="12" t="inlineStr">
        <is>
          <t>元表①より</t>
        </is>
      </c>
      <c r="J12" s="14">
        <f>IF($C12="","",IF(AND($F12&lt;&gt;"",$F12&gt;=$B$3,$E12&lt;=$B$3),$C12,""))</f>
        <v/>
      </c>
      <c r="K12" s="14">
        <f>IF($C12="","",IF(AND($E12&lt;&gt;"",$E12&gt;$B$3,COUNTIFS($C$6:$C$65,$C12,$E$6:$E$65,"&gt;"&amp;$B$3,$E$6:$E$65,"&lt;"&amp;$E12)=0),$C12,""))</f>
        <v/>
      </c>
      <c r="L12" s="14">
        <f>IF($C12="","",IF(AND($F12&lt;&gt;"",$F12&lt;$B$3,COUNTIFS($C$6:$C$65,$C12,$F$6:$F$65,"&lt;"&amp;$B$3,$F$6:$F$65,"&gt;"&amp;$F12)=0),$C12,""))</f>
        <v/>
      </c>
    </row>
    <row r="13">
      <c r="A13" s="11" t="n">
        <v>8</v>
      </c>
      <c r="B13" s="12" t="inlineStr">
        <is>
          <t>（次案件・物件名未定）</t>
        </is>
      </c>
      <c r="C13" s="12" t="inlineStr">
        <is>
          <t>原田</t>
        </is>
      </c>
      <c r="D13" s="12" t="n"/>
      <c r="E13" s="8" t="n">
        <v>46282</v>
      </c>
      <c r="F13" s="8" t="n"/>
      <c r="G13" s="13">
        <f>IF($C13="","",IF(AND($E13&lt;&gt;"",$E13&gt;$B$3),"予定",IF($F13="","要確認（終了日未入力）",IF($F13&lt;$B$3,"完了","施工中"))))</f>
        <v/>
      </c>
      <c r="H13" s="13">
        <f>IF(OR($E13="",$F13=""),"",$F13-$E13+1)</f>
        <v/>
      </c>
      <c r="I13" s="12" t="inlineStr">
        <is>
          <t>開始予定のみ判明。物件名と終了予定日を入力してください</t>
        </is>
      </c>
      <c r="J13" s="14">
        <f>IF($C13="","",IF(AND($F13&lt;&gt;"",$F13&gt;=$B$3,$E13&lt;=$B$3),$C13,""))</f>
        <v/>
      </c>
      <c r="K13" s="14">
        <f>IF($C13="","",IF(AND($E13&lt;&gt;"",$E13&gt;$B$3,COUNTIFS($C$6:$C$65,$C13,$E$6:$E$65,"&gt;"&amp;$B$3,$E$6:$E$65,"&lt;"&amp;$E13)=0),$C13,""))</f>
        <v/>
      </c>
      <c r="L13" s="14">
        <f>IF($C13="","",IF(AND($F13&lt;&gt;"",$F13&lt;$B$3,COUNTIFS($C$6:$C$65,$C13,$F$6:$F$65,"&lt;"&amp;$B$3,$F$6:$F$65,"&gt;"&amp;$F13)=0),$C13,""))</f>
        <v/>
      </c>
    </row>
    <row r="14">
      <c r="A14" s="11" t="n">
        <v>9</v>
      </c>
      <c r="B14" s="12" t="inlineStr">
        <is>
          <t>（前案件・物件名未記載）</t>
        </is>
      </c>
      <c r="C14" s="12" t="inlineStr">
        <is>
          <t>田中</t>
        </is>
      </c>
      <c r="D14" s="12" t="n"/>
      <c r="E14" s="8" t="n"/>
      <c r="F14" s="8" t="n">
        <v>46230</v>
      </c>
      <c r="G14" s="13">
        <f>IF($C14="","",IF(AND($E14&lt;&gt;"",$E14&gt;$B$3),"予定",IF($F14="","要確認（終了日未入力）",IF($F14&lt;$B$3,"完了","施工中"))))</f>
        <v/>
      </c>
      <c r="H14" s="13">
        <f>IF(OR($E14="",$F14=""),"",$F14-$E14+1)</f>
        <v/>
      </c>
      <c r="I14" s="12" t="inlineStr">
        <is>
          <t>元表①では終了日のみ記載</t>
        </is>
      </c>
      <c r="J14" s="14">
        <f>IF($C14="","",IF(AND($F14&lt;&gt;"",$F14&gt;=$B$3,$E14&lt;=$B$3),$C14,""))</f>
        <v/>
      </c>
      <c r="K14" s="14">
        <f>IF($C14="","",IF(AND($E14&lt;&gt;"",$E14&gt;$B$3,COUNTIFS($C$6:$C$65,$C14,$E$6:$E$65,"&gt;"&amp;$B$3,$E$6:$E$65,"&lt;"&amp;$E14)=0),$C14,""))</f>
        <v/>
      </c>
      <c r="L14" s="14">
        <f>IF($C14="","",IF(AND($F14&lt;&gt;"",$F14&lt;$B$3,COUNTIFS($C$6:$C$65,$C14,$F$6:$F$65,"&lt;"&amp;$B$3,$F$6:$F$65,"&gt;"&amp;$F14)=0),$C14,""))</f>
        <v/>
      </c>
    </row>
    <row r="15">
      <c r="A15" s="11" t="n">
        <v>10</v>
      </c>
      <c r="B15" s="12" t="inlineStr">
        <is>
          <t>三栄港運（潮見）</t>
        </is>
      </c>
      <c r="C15" s="12" t="inlineStr">
        <is>
          <t>田中</t>
        </is>
      </c>
      <c r="D15" s="12" t="n"/>
      <c r="E15" s="8" t="n">
        <v>46259</v>
      </c>
      <c r="F15" s="8" t="n"/>
      <c r="G15" s="13">
        <f>IF($C15="","",IF(AND($E15&lt;&gt;"",$E15&gt;$B$3),"予定",IF($F15="","要確認（終了日未入力）",IF($F15&lt;$B$3,"完了","施工中"))))</f>
        <v/>
      </c>
      <c r="H15" s="13">
        <f>IF(OR($E15="",$F15=""),"",$F15-$E15+1)</f>
        <v/>
      </c>
      <c r="I15" s="12" t="inlineStr">
        <is>
          <t>終了予定日を入力してください</t>
        </is>
      </c>
      <c r="J15" s="14">
        <f>IF($C15="","",IF(AND($F15&lt;&gt;"",$F15&gt;=$B$3,$E15&lt;=$B$3),$C15,""))</f>
        <v/>
      </c>
      <c r="K15" s="14">
        <f>IF($C15="","",IF(AND($E15&lt;&gt;"",$E15&gt;$B$3,COUNTIFS($C$6:$C$65,$C15,$E$6:$E$65,"&gt;"&amp;$B$3,$E$6:$E$65,"&lt;"&amp;$E15)=0),$C15,""))</f>
        <v/>
      </c>
      <c r="L15" s="14">
        <f>IF($C15="","",IF(AND($F15&lt;&gt;"",$F15&lt;$B$3,COUNTIFS($C$6:$C$65,$C15,$F$6:$F$65,"&lt;"&amp;$B$3,$F$6:$F$65,"&gt;"&amp;$F15)=0),$C15,""))</f>
        <v/>
      </c>
    </row>
    <row r="16">
      <c r="A16" s="11" t="n">
        <v>11</v>
      </c>
      <c r="B16" s="12" t="n"/>
      <c r="C16" s="12" t="n"/>
      <c r="D16" s="12" t="n"/>
      <c r="E16" s="8" t="n"/>
      <c r="F16" s="8" t="n"/>
      <c r="G16" s="13">
        <f>IF($C16="","",IF(AND($E16&lt;&gt;"",$E16&gt;$B$3),"予定",IF($F16="","要確認（終了日未入力）",IF($F16&lt;$B$3,"完了","施工中"))))</f>
        <v/>
      </c>
      <c r="H16" s="13">
        <f>IF(OR($E16="",$F16=""),"",$F16-$E16+1)</f>
        <v/>
      </c>
      <c r="I16" s="12" t="n"/>
      <c r="J16" s="14">
        <f>IF($C16="","",IF(AND($F16&lt;&gt;"",$F16&gt;=$B$3,$E16&lt;=$B$3),$C16,""))</f>
        <v/>
      </c>
      <c r="K16" s="14">
        <f>IF($C16="","",IF(AND($E16&lt;&gt;"",$E16&gt;$B$3,COUNTIFS($C$6:$C$65,$C16,$E$6:$E$65,"&gt;"&amp;$B$3,$E$6:$E$65,"&lt;"&amp;$E16)=0),$C16,""))</f>
        <v/>
      </c>
      <c r="L16" s="14">
        <f>IF($C16="","",IF(AND($F16&lt;&gt;"",$F16&lt;$B$3,COUNTIFS($C$6:$C$65,$C16,$F$6:$F$65,"&lt;"&amp;$B$3,$F$6:$F$65,"&gt;"&amp;$F16)=0),$C16,""))</f>
        <v/>
      </c>
    </row>
    <row r="17">
      <c r="A17" s="11" t="n">
        <v>12</v>
      </c>
      <c r="B17" s="12" t="n"/>
      <c r="C17" s="12" t="n"/>
      <c r="D17" s="12" t="n"/>
      <c r="E17" s="8" t="n"/>
      <c r="F17" s="8" t="n"/>
      <c r="G17" s="13">
        <f>IF($C17="","",IF(AND($E17&lt;&gt;"",$E17&gt;$B$3),"予定",IF($F17="","要確認（終了日未入力）",IF($F17&lt;$B$3,"完了","施工中"))))</f>
        <v/>
      </c>
      <c r="H17" s="13">
        <f>IF(OR($E17="",$F17=""),"",$F17-$E17+1)</f>
        <v/>
      </c>
      <c r="I17" s="12" t="n"/>
      <c r="J17" s="14">
        <f>IF($C17="","",IF(AND($F17&lt;&gt;"",$F17&gt;=$B$3,$E17&lt;=$B$3),$C17,""))</f>
        <v/>
      </c>
      <c r="K17" s="14">
        <f>IF($C17="","",IF(AND($E17&lt;&gt;"",$E17&gt;$B$3,COUNTIFS($C$6:$C$65,$C17,$E$6:$E$65,"&gt;"&amp;$B$3,$E$6:$E$65,"&lt;"&amp;$E17)=0),$C17,""))</f>
        <v/>
      </c>
      <c r="L17" s="14">
        <f>IF($C17="","",IF(AND($F17&lt;&gt;"",$F17&lt;$B$3,COUNTIFS($C$6:$C$65,$C17,$F$6:$F$65,"&lt;"&amp;$B$3,$F$6:$F$65,"&gt;"&amp;$F17)=0),$C17,""))</f>
        <v/>
      </c>
    </row>
    <row r="18">
      <c r="A18" s="11" t="n">
        <v>13</v>
      </c>
      <c r="B18" s="12" t="n"/>
      <c r="C18" s="12" t="n"/>
      <c r="D18" s="12" t="n"/>
      <c r="E18" s="8" t="n"/>
      <c r="F18" s="8" t="n"/>
      <c r="G18" s="13">
        <f>IF($C18="","",IF(AND($E18&lt;&gt;"",$E18&gt;$B$3),"予定",IF($F18="","要確認（終了日未入力）",IF($F18&lt;$B$3,"完了","施工中"))))</f>
        <v/>
      </c>
      <c r="H18" s="13">
        <f>IF(OR($E18="",$F18=""),"",$F18-$E18+1)</f>
        <v/>
      </c>
      <c r="I18" s="12" t="n"/>
      <c r="J18" s="14">
        <f>IF($C18="","",IF(AND($F18&lt;&gt;"",$F18&gt;=$B$3,$E18&lt;=$B$3),$C18,""))</f>
        <v/>
      </c>
      <c r="K18" s="14">
        <f>IF($C18="","",IF(AND($E18&lt;&gt;"",$E18&gt;$B$3,COUNTIFS($C$6:$C$65,$C18,$E$6:$E$65,"&gt;"&amp;$B$3,$E$6:$E$65,"&lt;"&amp;$E18)=0),$C18,""))</f>
        <v/>
      </c>
      <c r="L18" s="14">
        <f>IF($C18="","",IF(AND($F18&lt;&gt;"",$F18&lt;$B$3,COUNTIFS($C$6:$C$65,$C18,$F$6:$F$65,"&lt;"&amp;$B$3,$F$6:$F$65,"&gt;"&amp;$F18)=0),$C18,""))</f>
        <v/>
      </c>
    </row>
    <row r="19">
      <c r="A19" s="11" t="n">
        <v>14</v>
      </c>
      <c r="B19" s="12" t="n"/>
      <c r="C19" s="12" t="n"/>
      <c r="D19" s="12" t="n"/>
      <c r="E19" s="8" t="n"/>
      <c r="F19" s="8" t="n"/>
      <c r="G19" s="13">
        <f>IF($C19="","",IF(AND($E19&lt;&gt;"",$E19&gt;$B$3),"予定",IF($F19="","要確認（終了日未入力）",IF($F19&lt;$B$3,"完了","施工中"))))</f>
        <v/>
      </c>
      <c r="H19" s="13">
        <f>IF(OR($E19="",$F19=""),"",$F19-$E19+1)</f>
        <v/>
      </c>
      <c r="I19" s="12" t="n"/>
      <c r="J19" s="14">
        <f>IF($C19="","",IF(AND($F19&lt;&gt;"",$F19&gt;=$B$3,$E19&lt;=$B$3),$C19,""))</f>
        <v/>
      </c>
      <c r="K19" s="14">
        <f>IF($C19="","",IF(AND($E19&lt;&gt;"",$E19&gt;$B$3,COUNTIFS($C$6:$C$65,$C19,$E$6:$E$65,"&gt;"&amp;$B$3,$E$6:$E$65,"&lt;"&amp;$E19)=0),$C19,""))</f>
        <v/>
      </c>
      <c r="L19" s="14">
        <f>IF($C19="","",IF(AND($F19&lt;&gt;"",$F19&lt;$B$3,COUNTIFS($C$6:$C$65,$C19,$F$6:$F$65,"&lt;"&amp;$B$3,$F$6:$F$65,"&gt;"&amp;$F19)=0),$C19,""))</f>
        <v/>
      </c>
    </row>
    <row r="20">
      <c r="A20" s="11" t="n">
        <v>15</v>
      </c>
      <c r="B20" s="12" t="n"/>
      <c r="C20" s="12" t="n"/>
      <c r="D20" s="12" t="n"/>
      <c r="E20" s="8" t="n"/>
      <c r="F20" s="8" t="n"/>
      <c r="G20" s="13">
        <f>IF($C20="","",IF(AND($E20&lt;&gt;"",$E20&gt;$B$3),"予定",IF($F20="","要確認（終了日未入力）",IF($F20&lt;$B$3,"完了","施工中"))))</f>
        <v/>
      </c>
      <c r="H20" s="13">
        <f>IF(OR($E20="",$F20=""),"",$F20-$E20+1)</f>
        <v/>
      </c>
      <c r="I20" s="12" t="n"/>
      <c r="J20" s="14">
        <f>IF($C20="","",IF(AND($F20&lt;&gt;"",$F20&gt;=$B$3,$E20&lt;=$B$3),$C20,""))</f>
        <v/>
      </c>
      <c r="K20" s="14">
        <f>IF($C20="","",IF(AND($E20&lt;&gt;"",$E20&gt;$B$3,COUNTIFS($C$6:$C$65,$C20,$E$6:$E$65,"&gt;"&amp;$B$3,$E$6:$E$65,"&lt;"&amp;$E20)=0),$C20,""))</f>
        <v/>
      </c>
      <c r="L20" s="14">
        <f>IF($C20="","",IF(AND($F20&lt;&gt;"",$F20&lt;$B$3,COUNTIFS($C$6:$C$65,$C20,$F$6:$F$65,"&lt;"&amp;$B$3,$F$6:$F$65,"&gt;"&amp;$F20)=0),$C20,""))</f>
        <v/>
      </c>
    </row>
    <row r="21">
      <c r="A21" s="11" t="n">
        <v>16</v>
      </c>
      <c r="B21" s="12" t="n"/>
      <c r="C21" s="12" t="n"/>
      <c r="D21" s="12" t="n"/>
      <c r="E21" s="8" t="n"/>
      <c r="F21" s="8" t="n"/>
      <c r="G21" s="13">
        <f>IF($C21="","",IF(AND($E21&lt;&gt;"",$E21&gt;$B$3),"予定",IF($F21="","要確認（終了日未入力）",IF($F21&lt;$B$3,"完了","施工中"))))</f>
        <v/>
      </c>
      <c r="H21" s="13">
        <f>IF(OR($E21="",$F21=""),"",$F21-$E21+1)</f>
        <v/>
      </c>
      <c r="I21" s="12" t="n"/>
      <c r="J21" s="14">
        <f>IF($C21="","",IF(AND($F21&lt;&gt;"",$F21&gt;=$B$3,$E21&lt;=$B$3),$C21,""))</f>
        <v/>
      </c>
      <c r="K21" s="14">
        <f>IF($C21="","",IF(AND($E21&lt;&gt;"",$E21&gt;$B$3,COUNTIFS($C$6:$C$65,$C21,$E$6:$E$65,"&gt;"&amp;$B$3,$E$6:$E$65,"&lt;"&amp;$E21)=0),$C21,""))</f>
        <v/>
      </c>
      <c r="L21" s="14">
        <f>IF($C21="","",IF(AND($F21&lt;&gt;"",$F21&lt;$B$3,COUNTIFS($C$6:$C$65,$C21,$F$6:$F$65,"&lt;"&amp;$B$3,$F$6:$F$65,"&gt;"&amp;$F21)=0),$C21,""))</f>
        <v/>
      </c>
    </row>
    <row r="22">
      <c r="A22" s="11" t="n">
        <v>17</v>
      </c>
      <c r="B22" s="12" t="n"/>
      <c r="C22" s="12" t="n"/>
      <c r="D22" s="12" t="n"/>
      <c r="E22" s="8" t="n"/>
      <c r="F22" s="8" t="n"/>
      <c r="G22" s="13">
        <f>IF($C22="","",IF(AND($E22&lt;&gt;"",$E22&gt;$B$3),"予定",IF($F22="","要確認（終了日未入力）",IF($F22&lt;$B$3,"完了","施工中"))))</f>
        <v/>
      </c>
      <c r="H22" s="13">
        <f>IF(OR($E22="",$F22=""),"",$F22-$E22+1)</f>
        <v/>
      </c>
      <c r="I22" s="12" t="n"/>
      <c r="J22" s="14">
        <f>IF($C22="","",IF(AND($F22&lt;&gt;"",$F22&gt;=$B$3,$E22&lt;=$B$3),$C22,""))</f>
        <v/>
      </c>
      <c r="K22" s="14">
        <f>IF($C22="","",IF(AND($E22&lt;&gt;"",$E22&gt;$B$3,COUNTIFS($C$6:$C$65,$C22,$E$6:$E$65,"&gt;"&amp;$B$3,$E$6:$E$65,"&lt;"&amp;$E22)=0),$C22,""))</f>
        <v/>
      </c>
      <c r="L22" s="14">
        <f>IF($C22="","",IF(AND($F22&lt;&gt;"",$F22&lt;$B$3,COUNTIFS($C$6:$C$65,$C22,$F$6:$F$65,"&lt;"&amp;$B$3,$F$6:$F$65,"&gt;"&amp;$F22)=0),$C22,""))</f>
        <v/>
      </c>
    </row>
    <row r="23">
      <c r="A23" s="11" t="n">
        <v>18</v>
      </c>
      <c r="B23" s="12" t="n"/>
      <c r="C23" s="12" t="n"/>
      <c r="D23" s="12" t="n"/>
      <c r="E23" s="8" t="n"/>
      <c r="F23" s="8" t="n"/>
      <c r="G23" s="13">
        <f>IF($C23="","",IF(AND($E23&lt;&gt;"",$E23&gt;$B$3),"予定",IF($F23="","要確認（終了日未入力）",IF($F23&lt;$B$3,"完了","施工中"))))</f>
        <v/>
      </c>
      <c r="H23" s="13">
        <f>IF(OR($E23="",$F23=""),"",$F23-$E23+1)</f>
        <v/>
      </c>
      <c r="I23" s="12" t="n"/>
      <c r="J23" s="14">
        <f>IF($C23="","",IF(AND($F23&lt;&gt;"",$F23&gt;=$B$3,$E23&lt;=$B$3),$C23,""))</f>
        <v/>
      </c>
      <c r="K23" s="14">
        <f>IF($C23="","",IF(AND($E23&lt;&gt;"",$E23&gt;$B$3,COUNTIFS($C$6:$C$65,$C23,$E$6:$E$65,"&gt;"&amp;$B$3,$E$6:$E$65,"&lt;"&amp;$E23)=0),$C23,""))</f>
        <v/>
      </c>
      <c r="L23" s="14">
        <f>IF($C23="","",IF(AND($F23&lt;&gt;"",$F23&lt;$B$3,COUNTIFS($C$6:$C$65,$C23,$F$6:$F$65,"&lt;"&amp;$B$3,$F$6:$F$65,"&gt;"&amp;$F23)=0),$C23,""))</f>
        <v/>
      </c>
    </row>
    <row r="24">
      <c r="A24" s="11" t="n">
        <v>19</v>
      </c>
      <c r="B24" s="12" t="n"/>
      <c r="C24" s="12" t="n"/>
      <c r="D24" s="12" t="n"/>
      <c r="E24" s="8" t="n"/>
      <c r="F24" s="8" t="n"/>
      <c r="G24" s="13">
        <f>IF($C24="","",IF(AND($E24&lt;&gt;"",$E24&gt;$B$3),"予定",IF($F24="","要確認（終了日未入力）",IF($F24&lt;$B$3,"完了","施工中"))))</f>
        <v/>
      </c>
      <c r="H24" s="13">
        <f>IF(OR($E24="",$F24=""),"",$F24-$E24+1)</f>
        <v/>
      </c>
      <c r="I24" s="12" t="n"/>
      <c r="J24" s="14">
        <f>IF($C24="","",IF(AND($F24&lt;&gt;"",$F24&gt;=$B$3,$E24&lt;=$B$3),$C24,""))</f>
        <v/>
      </c>
      <c r="K24" s="14">
        <f>IF($C24="","",IF(AND($E24&lt;&gt;"",$E24&gt;$B$3,COUNTIFS($C$6:$C$65,$C24,$E$6:$E$65,"&gt;"&amp;$B$3,$E$6:$E$65,"&lt;"&amp;$E24)=0),$C24,""))</f>
        <v/>
      </c>
      <c r="L24" s="14">
        <f>IF($C24="","",IF(AND($F24&lt;&gt;"",$F24&lt;$B$3,COUNTIFS($C$6:$C$65,$C24,$F$6:$F$65,"&lt;"&amp;$B$3,$F$6:$F$65,"&gt;"&amp;$F24)=0),$C24,""))</f>
        <v/>
      </c>
    </row>
    <row r="25">
      <c r="A25" s="11" t="n">
        <v>20</v>
      </c>
      <c r="B25" s="12" t="n"/>
      <c r="C25" s="12" t="n"/>
      <c r="D25" s="12" t="n"/>
      <c r="E25" s="8" t="n"/>
      <c r="F25" s="8" t="n"/>
      <c r="G25" s="13">
        <f>IF($C25="","",IF(AND($E25&lt;&gt;"",$E25&gt;$B$3),"予定",IF($F25="","要確認（終了日未入力）",IF($F25&lt;$B$3,"完了","施工中"))))</f>
        <v/>
      </c>
      <c r="H25" s="13">
        <f>IF(OR($E25="",$F25=""),"",$F25-$E25+1)</f>
        <v/>
      </c>
      <c r="I25" s="12" t="n"/>
      <c r="J25" s="14">
        <f>IF($C25="","",IF(AND($F25&lt;&gt;"",$F25&gt;=$B$3,$E25&lt;=$B$3),$C25,""))</f>
        <v/>
      </c>
      <c r="K25" s="14">
        <f>IF($C25="","",IF(AND($E25&lt;&gt;"",$E25&gt;$B$3,COUNTIFS($C$6:$C$65,$C25,$E$6:$E$65,"&gt;"&amp;$B$3,$E$6:$E$65,"&lt;"&amp;$E25)=0),$C25,""))</f>
        <v/>
      </c>
      <c r="L25" s="14">
        <f>IF($C25="","",IF(AND($F25&lt;&gt;"",$F25&lt;$B$3,COUNTIFS($C$6:$C$65,$C25,$F$6:$F$65,"&lt;"&amp;$B$3,$F$6:$F$65,"&gt;"&amp;$F25)=0),$C25,""))</f>
        <v/>
      </c>
    </row>
    <row r="26">
      <c r="A26" s="11" t="n">
        <v>21</v>
      </c>
      <c r="B26" s="12" t="n"/>
      <c r="C26" s="12" t="n"/>
      <c r="D26" s="12" t="n"/>
      <c r="E26" s="8" t="n"/>
      <c r="F26" s="8" t="n"/>
      <c r="G26" s="13">
        <f>IF($C26="","",IF(AND($E26&lt;&gt;"",$E26&gt;$B$3),"予定",IF($F26="","要確認（終了日未入力）",IF($F26&lt;$B$3,"完了","施工中"))))</f>
        <v/>
      </c>
      <c r="H26" s="13">
        <f>IF(OR($E26="",$F26=""),"",$F26-$E26+1)</f>
        <v/>
      </c>
      <c r="I26" s="12" t="n"/>
      <c r="J26" s="14">
        <f>IF($C26="","",IF(AND($F26&lt;&gt;"",$F26&gt;=$B$3,$E26&lt;=$B$3),$C26,""))</f>
        <v/>
      </c>
      <c r="K26" s="14">
        <f>IF($C26="","",IF(AND($E26&lt;&gt;"",$E26&gt;$B$3,COUNTIFS($C$6:$C$65,$C26,$E$6:$E$65,"&gt;"&amp;$B$3,$E$6:$E$65,"&lt;"&amp;$E26)=0),$C26,""))</f>
        <v/>
      </c>
      <c r="L26" s="14">
        <f>IF($C26="","",IF(AND($F26&lt;&gt;"",$F26&lt;$B$3,COUNTIFS($C$6:$C$65,$C26,$F$6:$F$65,"&lt;"&amp;$B$3,$F$6:$F$65,"&gt;"&amp;$F26)=0),$C26,""))</f>
        <v/>
      </c>
    </row>
    <row r="27">
      <c r="A27" s="11" t="n">
        <v>22</v>
      </c>
      <c r="B27" s="12" t="n"/>
      <c r="C27" s="12" t="n"/>
      <c r="D27" s="12" t="n"/>
      <c r="E27" s="8" t="n"/>
      <c r="F27" s="8" t="n"/>
      <c r="G27" s="13">
        <f>IF($C27="","",IF(AND($E27&lt;&gt;"",$E27&gt;$B$3),"予定",IF($F27="","要確認（終了日未入力）",IF($F27&lt;$B$3,"完了","施工中"))))</f>
        <v/>
      </c>
      <c r="H27" s="13">
        <f>IF(OR($E27="",$F27=""),"",$F27-$E27+1)</f>
        <v/>
      </c>
      <c r="I27" s="12" t="n"/>
      <c r="J27" s="14">
        <f>IF($C27="","",IF(AND($F27&lt;&gt;"",$F27&gt;=$B$3,$E27&lt;=$B$3),$C27,""))</f>
        <v/>
      </c>
      <c r="K27" s="14">
        <f>IF($C27="","",IF(AND($E27&lt;&gt;"",$E27&gt;$B$3,COUNTIFS($C$6:$C$65,$C27,$E$6:$E$65,"&gt;"&amp;$B$3,$E$6:$E$65,"&lt;"&amp;$E27)=0),$C27,""))</f>
        <v/>
      </c>
      <c r="L27" s="14">
        <f>IF($C27="","",IF(AND($F27&lt;&gt;"",$F27&lt;$B$3,COUNTIFS($C$6:$C$65,$C27,$F$6:$F$65,"&lt;"&amp;$B$3,$F$6:$F$65,"&gt;"&amp;$F27)=0),$C27,""))</f>
        <v/>
      </c>
    </row>
    <row r="28">
      <c r="A28" s="11" t="n">
        <v>23</v>
      </c>
      <c r="B28" s="12" t="n"/>
      <c r="C28" s="12" t="n"/>
      <c r="D28" s="12" t="n"/>
      <c r="E28" s="8" t="n"/>
      <c r="F28" s="8" t="n"/>
      <c r="G28" s="13">
        <f>IF($C28="","",IF(AND($E28&lt;&gt;"",$E28&gt;$B$3),"予定",IF($F28="","要確認（終了日未入力）",IF($F28&lt;$B$3,"完了","施工中"))))</f>
        <v/>
      </c>
      <c r="H28" s="13">
        <f>IF(OR($E28="",$F28=""),"",$F28-$E28+1)</f>
        <v/>
      </c>
      <c r="I28" s="12" t="n"/>
      <c r="J28" s="14">
        <f>IF($C28="","",IF(AND($F28&lt;&gt;"",$F28&gt;=$B$3,$E28&lt;=$B$3),$C28,""))</f>
        <v/>
      </c>
      <c r="K28" s="14">
        <f>IF($C28="","",IF(AND($E28&lt;&gt;"",$E28&gt;$B$3,COUNTIFS($C$6:$C$65,$C28,$E$6:$E$65,"&gt;"&amp;$B$3,$E$6:$E$65,"&lt;"&amp;$E28)=0),$C28,""))</f>
        <v/>
      </c>
      <c r="L28" s="14">
        <f>IF($C28="","",IF(AND($F28&lt;&gt;"",$F28&lt;$B$3,COUNTIFS($C$6:$C$65,$C28,$F$6:$F$65,"&lt;"&amp;$B$3,$F$6:$F$65,"&gt;"&amp;$F28)=0),$C28,""))</f>
        <v/>
      </c>
    </row>
    <row r="29">
      <c r="A29" s="11" t="n">
        <v>24</v>
      </c>
      <c r="B29" s="12" t="n"/>
      <c r="C29" s="12" t="n"/>
      <c r="D29" s="12" t="n"/>
      <c r="E29" s="8" t="n"/>
      <c r="F29" s="8" t="n"/>
      <c r="G29" s="13">
        <f>IF($C29="","",IF(AND($E29&lt;&gt;"",$E29&gt;$B$3),"予定",IF($F29="","要確認（終了日未入力）",IF($F29&lt;$B$3,"完了","施工中"))))</f>
        <v/>
      </c>
      <c r="H29" s="13">
        <f>IF(OR($E29="",$F29=""),"",$F29-$E29+1)</f>
        <v/>
      </c>
      <c r="I29" s="12" t="n"/>
      <c r="J29" s="14">
        <f>IF($C29="","",IF(AND($F29&lt;&gt;"",$F29&gt;=$B$3,$E29&lt;=$B$3),$C29,""))</f>
        <v/>
      </c>
      <c r="K29" s="14">
        <f>IF($C29="","",IF(AND($E29&lt;&gt;"",$E29&gt;$B$3,COUNTIFS($C$6:$C$65,$C29,$E$6:$E$65,"&gt;"&amp;$B$3,$E$6:$E$65,"&lt;"&amp;$E29)=0),$C29,""))</f>
        <v/>
      </c>
      <c r="L29" s="14">
        <f>IF($C29="","",IF(AND($F29&lt;&gt;"",$F29&lt;$B$3,COUNTIFS($C$6:$C$65,$C29,$F$6:$F$65,"&lt;"&amp;$B$3,$F$6:$F$65,"&gt;"&amp;$F29)=0),$C29,""))</f>
        <v/>
      </c>
    </row>
    <row r="30">
      <c r="A30" s="11" t="n">
        <v>25</v>
      </c>
      <c r="B30" s="12" t="n"/>
      <c r="C30" s="12" t="n"/>
      <c r="D30" s="12" t="n"/>
      <c r="E30" s="8" t="n"/>
      <c r="F30" s="8" t="n"/>
      <c r="G30" s="13">
        <f>IF($C30="","",IF(AND($E30&lt;&gt;"",$E30&gt;$B$3),"予定",IF($F30="","要確認（終了日未入力）",IF($F30&lt;$B$3,"完了","施工中"))))</f>
        <v/>
      </c>
      <c r="H30" s="13">
        <f>IF(OR($E30="",$F30=""),"",$F30-$E30+1)</f>
        <v/>
      </c>
      <c r="I30" s="12" t="n"/>
      <c r="J30" s="14">
        <f>IF($C30="","",IF(AND($F30&lt;&gt;"",$F30&gt;=$B$3,$E30&lt;=$B$3),$C30,""))</f>
        <v/>
      </c>
      <c r="K30" s="14">
        <f>IF($C30="","",IF(AND($E30&lt;&gt;"",$E30&gt;$B$3,COUNTIFS($C$6:$C$65,$C30,$E$6:$E$65,"&gt;"&amp;$B$3,$E$6:$E$65,"&lt;"&amp;$E30)=0),$C30,""))</f>
        <v/>
      </c>
      <c r="L30" s="14">
        <f>IF($C30="","",IF(AND($F30&lt;&gt;"",$F30&lt;$B$3,COUNTIFS($C$6:$C$65,$C30,$F$6:$F$65,"&lt;"&amp;$B$3,$F$6:$F$65,"&gt;"&amp;$F30)=0),$C30,""))</f>
        <v/>
      </c>
    </row>
    <row r="31">
      <c r="A31" s="11" t="n">
        <v>26</v>
      </c>
      <c r="B31" s="12" t="n"/>
      <c r="C31" s="12" t="n"/>
      <c r="D31" s="12" t="n"/>
      <c r="E31" s="8" t="n"/>
      <c r="F31" s="8" t="n"/>
      <c r="G31" s="13">
        <f>IF($C31="","",IF(AND($E31&lt;&gt;"",$E31&gt;$B$3),"予定",IF($F31="","要確認（終了日未入力）",IF($F31&lt;$B$3,"完了","施工中"))))</f>
        <v/>
      </c>
      <c r="H31" s="13">
        <f>IF(OR($E31="",$F31=""),"",$F31-$E31+1)</f>
        <v/>
      </c>
      <c r="I31" s="12" t="n"/>
      <c r="J31" s="14">
        <f>IF($C31="","",IF(AND($F31&lt;&gt;"",$F31&gt;=$B$3,$E31&lt;=$B$3),$C31,""))</f>
        <v/>
      </c>
      <c r="K31" s="14">
        <f>IF($C31="","",IF(AND($E31&lt;&gt;"",$E31&gt;$B$3,COUNTIFS($C$6:$C$65,$C31,$E$6:$E$65,"&gt;"&amp;$B$3,$E$6:$E$65,"&lt;"&amp;$E31)=0),$C31,""))</f>
        <v/>
      </c>
      <c r="L31" s="14">
        <f>IF($C31="","",IF(AND($F31&lt;&gt;"",$F31&lt;$B$3,COUNTIFS($C$6:$C$65,$C31,$F$6:$F$65,"&lt;"&amp;$B$3,$F$6:$F$65,"&gt;"&amp;$F31)=0),$C31,""))</f>
        <v/>
      </c>
    </row>
    <row r="32">
      <c r="A32" s="11" t="n">
        <v>27</v>
      </c>
      <c r="B32" s="12" t="n"/>
      <c r="C32" s="12" t="n"/>
      <c r="D32" s="12" t="n"/>
      <c r="E32" s="8" t="n"/>
      <c r="F32" s="8" t="n"/>
      <c r="G32" s="13">
        <f>IF($C32="","",IF(AND($E32&lt;&gt;"",$E32&gt;$B$3),"予定",IF($F32="","要確認（終了日未入力）",IF($F32&lt;$B$3,"完了","施工中"))))</f>
        <v/>
      </c>
      <c r="H32" s="13">
        <f>IF(OR($E32="",$F32=""),"",$F32-$E32+1)</f>
        <v/>
      </c>
      <c r="I32" s="12" t="n"/>
      <c r="J32" s="14">
        <f>IF($C32="","",IF(AND($F32&lt;&gt;"",$F32&gt;=$B$3,$E32&lt;=$B$3),$C32,""))</f>
        <v/>
      </c>
      <c r="K32" s="14">
        <f>IF($C32="","",IF(AND($E32&lt;&gt;"",$E32&gt;$B$3,COUNTIFS($C$6:$C$65,$C32,$E$6:$E$65,"&gt;"&amp;$B$3,$E$6:$E$65,"&lt;"&amp;$E32)=0),$C32,""))</f>
        <v/>
      </c>
      <c r="L32" s="14">
        <f>IF($C32="","",IF(AND($F32&lt;&gt;"",$F32&lt;$B$3,COUNTIFS($C$6:$C$65,$C32,$F$6:$F$65,"&lt;"&amp;$B$3,$F$6:$F$65,"&gt;"&amp;$F32)=0),$C32,""))</f>
        <v/>
      </c>
    </row>
    <row r="33">
      <c r="A33" s="11" t="n">
        <v>28</v>
      </c>
      <c r="B33" s="12" t="n"/>
      <c r="C33" s="12" t="n"/>
      <c r="D33" s="12" t="n"/>
      <c r="E33" s="8" t="n"/>
      <c r="F33" s="8" t="n"/>
      <c r="G33" s="13">
        <f>IF($C33="","",IF(AND($E33&lt;&gt;"",$E33&gt;$B$3),"予定",IF($F33="","要確認（終了日未入力）",IF($F33&lt;$B$3,"完了","施工中"))))</f>
        <v/>
      </c>
      <c r="H33" s="13">
        <f>IF(OR($E33="",$F33=""),"",$F33-$E33+1)</f>
        <v/>
      </c>
      <c r="I33" s="12" t="n"/>
      <c r="J33" s="14">
        <f>IF($C33="","",IF(AND($F33&lt;&gt;"",$F33&gt;=$B$3,$E33&lt;=$B$3),$C33,""))</f>
        <v/>
      </c>
      <c r="K33" s="14">
        <f>IF($C33="","",IF(AND($E33&lt;&gt;"",$E33&gt;$B$3,COUNTIFS($C$6:$C$65,$C33,$E$6:$E$65,"&gt;"&amp;$B$3,$E$6:$E$65,"&lt;"&amp;$E33)=0),$C33,""))</f>
        <v/>
      </c>
      <c r="L33" s="14">
        <f>IF($C33="","",IF(AND($F33&lt;&gt;"",$F33&lt;$B$3,COUNTIFS($C$6:$C$65,$C33,$F$6:$F$65,"&lt;"&amp;$B$3,$F$6:$F$65,"&gt;"&amp;$F33)=0),$C33,""))</f>
        <v/>
      </c>
    </row>
    <row r="34">
      <c r="A34" s="11" t="n">
        <v>29</v>
      </c>
      <c r="B34" s="12" t="n"/>
      <c r="C34" s="12" t="n"/>
      <c r="D34" s="12" t="n"/>
      <c r="E34" s="8" t="n"/>
      <c r="F34" s="8" t="n"/>
      <c r="G34" s="13">
        <f>IF($C34="","",IF(AND($E34&lt;&gt;"",$E34&gt;$B$3),"予定",IF($F34="","要確認（終了日未入力）",IF($F34&lt;$B$3,"完了","施工中"))))</f>
        <v/>
      </c>
      <c r="H34" s="13">
        <f>IF(OR($E34="",$F34=""),"",$F34-$E34+1)</f>
        <v/>
      </c>
      <c r="I34" s="12" t="n"/>
      <c r="J34" s="14">
        <f>IF($C34="","",IF(AND($F34&lt;&gt;"",$F34&gt;=$B$3,$E34&lt;=$B$3),$C34,""))</f>
        <v/>
      </c>
      <c r="K34" s="14">
        <f>IF($C34="","",IF(AND($E34&lt;&gt;"",$E34&gt;$B$3,COUNTIFS($C$6:$C$65,$C34,$E$6:$E$65,"&gt;"&amp;$B$3,$E$6:$E$65,"&lt;"&amp;$E34)=0),$C34,""))</f>
        <v/>
      </c>
      <c r="L34" s="14">
        <f>IF($C34="","",IF(AND($F34&lt;&gt;"",$F34&lt;$B$3,COUNTIFS($C$6:$C$65,$C34,$F$6:$F$65,"&lt;"&amp;$B$3,$F$6:$F$65,"&gt;"&amp;$F34)=0),$C34,""))</f>
        <v/>
      </c>
    </row>
    <row r="35">
      <c r="A35" s="11" t="n">
        <v>30</v>
      </c>
      <c r="B35" s="12" t="n"/>
      <c r="C35" s="12" t="n"/>
      <c r="D35" s="12" t="n"/>
      <c r="E35" s="8" t="n"/>
      <c r="F35" s="8" t="n"/>
      <c r="G35" s="13">
        <f>IF($C35="","",IF(AND($E35&lt;&gt;"",$E35&gt;$B$3),"予定",IF($F35="","要確認（終了日未入力）",IF($F35&lt;$B$3,"完了","施工中"))))</f>
        <v/>
      </c>
      <c r="H35" s="13">
        <f>IF(OR($E35="",$F35=""),"",$F35-$E35+1)</f>
        <v/>
      </c>
      <c r="I35" s="12" t="n"/>
      <c r="J35" s="14">
        <f>IF($C35="","",IF(AND($F35&lt;&gt;"",$F35&gt;=$B$3,$E35&lt;=$B$3),$C35,""))</f>
        <v/>
      </c>
      <c r="K35" s="14">
        <f>IF($C35="","",IF(AND($E35&lt;&gt;"",$E35&gt;$B$3,COUNTIFS($C$6:$C$65,$C35,$E$6:$E$65,"&gt;"&amp;$B$3,$E$6:$E$65,"&lt;"&amp;$E35)=0),$C35,""))</f>
        <v/>
      </c>
      <c r="L35" s="14">
        <f>IF($C35="","",IF(AND($F35&lt;&gt;"",$F35&lt;$B$3,COUNTIFS($C$6:$C$65,$C35,$F$6:$F$65,"&lt;"&amp;$B$3,$F$6:$F$65,"&gt;"&amp;$F35)=0),$C35,""))</f>
        <v/>
      </c>
    </row>
    <row r="36">
      <c r="A36" s="11" t="n">
        <v>31</v>
      </c>
      <c r="B36" s="12" t="n"/>
      <c r="C36" s="12" t="n"/>
      <c r="D36" s="12" t="n"/>
      <c r="E36" s="8" t="n"/>
      <c r="F36" s="8" t="n"/>
      <c r="G36" s="13">
        <f>IF($C36="","",IF(AND($E36&lt;&gt;"",$E36&gt;$B$3),"予定",IF($F36="","要確認（終了日未入力）",IF($F36&lt;$B$3,"完了","施工中"))))</f>
        <v/>
      </c>
      <c r="H36" s="13">
        <f>IF(OR($E36="",$F36=""),"",$F36-$E36+1)</f>
        <v/>
      </c>
      <c r="I36" s="12" t="n"/>
      <c r="J36" s="14">
        <f>IF($C36="","",IF(AND($F36&lt;&gt;"",$F36&gt;=$B$3,$E36&lt;=$B$3),$C36,""))</f>
        <v/>
      </c>
      <c r="K36" s="14">
        <f>IF($C36="","",IF(AND($E36&lt;&gt;"",$E36&gt;$B$3,COUNTIFS($C$6:$C$65,$C36,$E$6:$E$65,"&gt;"&amp;$B$3,$E$6:$E$65,"&lt;"&amp;$E36)=0),$C36,""))</f>
        <v/>
      </c>
      <c r="L36" s="14">
        <f>IF($C36="","",IF(AND($F36&lt;&gt;"",$F36&lt;$B$3,COUNTIFS($C$6:$C$65,$C36,$F$6:$F$65,"&lt;"&amp;$B$3,$F$6:$F$65,"&gt;"&amp;$F36)=0),$C36,""))</f>
        <v/>
      </c>
    </row>
    <row r="37">
      <c r="A37" s="11" t="n">
        <v>32</v>
      </c>
      <c r="B37" s="12" t="n"/>
      <c r="C37" s="12" t="n"/>
      <c r="D37" s="12" t="n"/>
      <c r="E37" s="8" t="n"/>
      <c r="F37" s="8" t="n"/>
      <c r="G37" s="13">
        <f>IF($C37="","",IF(AND($E37&lt;&gt;"",$E37&gt;$B$3),"予定",IF($F37="","要確認（終了日未入力）",IF($F37&lt;$B$3,"完了","施工中"))))</f>
        <v/>
      </c>
      <c r="H37" s="13">
        <f>IF(OR($E37="",$F37=""),"",$F37-$E37+1)</f>
        <v/>
      </c>
      <c r="I37" s="12" t="n"/>
      <c r="J37" s="14">
        <f>IF($C37="","",IF(AND($F37&lt;&gt;"",$F37&gt;=$B$3,$E37&lt;=$B$3),$C37,""))</f>
        <v/>
      </c>
      <c r="K37" s="14">
        <f>IF($C37="","",IF(AND($E37&lt;&gt;"",$E37&gt;$B$3,COUNTIFS($C$6:$C$65,$C37,$E$6:$E$65,"&gt;"&amp;$B$3,$E$6:$E$65,"&lt;"&amp;$E37)=0),$C37,""))</f>
        <v/>
      </c>
      <c r="L37" s="14">
        <f>IF($C37="","",IF(AND($F37&lt;&gt;"",$F37&lt;$B$3,COUNTIFS($C$6:$C$65,$C37,$F$6:$F$65,"&lt;"&amp;$B$3,$F$6:$F$65,"&gt;"&amp;$F37)=0),$C37,""))</f>
        <v/>
      </c>
    </row>
    <row r="38">
      <c r="A38" s="11" t="n">
        <v>33</v>
      </c>
      <c r="B38" s="12" t="n"/>
      <c r="C38" s="12" t="n"/>
      <c r="D38" s="12" t="n"/>
      <c r="E38" s="8" t="n"/>
      <c r="F38" s="8" t="n"/>
      <c r="G38" s="13">
        <f>IF($C38="","",IF(AND($E38&lt;&gt;"",$E38&gt;$B$3),"予定",IF($F38="","要確認（終了日未入力）",IF($F38&lt;$B$3,"完了","施工中"))))</f>
        <v/>
      </c>
      <c r="H38" s="13">
        <f>IF(OR($E38="",$F38=""),"",$F38-$E38+1)</f>
        <v/>
      </c>
      <c r="I38" s="12" t="n"/>
      <c r="J38" s="14">
        <f>IF($C38="","",IF(AND($F38&lt;&gt;"",$F38&gt;=$B$3,$E38&lt;=$B$3),$C38,""))</f>
        <v/>
      </c>
      <c r="K38" s="14">
        <f>IF($C38="","",IF(AND($E38&lt;&gt;"",$E38&gt;$B$3,COUNTIFS($C$6:$C$65,$C38,$E$6:$E$65,"&gt;"&amp;$B$3,$E$6:$E$65,"&lt;"&amp;$E38)=0),$C38,""))</f>
        <v/>
      </c>
      <c r="L38" s="14">
        <f>IF($C38="","",IF(AND($F38&lt;&gt;"",$F38&lt;$B$3,COUNTIFS($C$6:$C$65,$C38,$F$6:$F$65,"&lt;"&amp;$B$3,$F$6:$F$65,"&gt;"&amp;$F38)=0),$C38,""))</f>
        <v/>
      </c>
    </row>
    <row r="39">
      <c r="A39" s="11" t="n">
        <v>34</v>
      </c>
      <c r="B39" s="12" t="n"/>
      <c r="C39" s="12" t="n"/>
      <c r="D39" s="12" t="n"/>
      <c r="E39" s="8" t="n"/>
      <c r="F39" s="8" t="n"/>
      <c r="G39" s="13">
        <f>IF($C39="","",IF(AND($E39&lt;&gt;"",$E39&gt;$B$3),"予定",IF($F39="","要確認（終了日未入力）",IF($F39&lt;$B$3,"完了","施工中"))))</f>
        <v/>
      </c>
      <c r="H39" s="13">
        <f>IF(OR($E39="",$F39=""),"",$F39-$E39+1)</f>
        <v/>
      </c>
      <c r="I39" s="12" t="n"/>
      <c r="J39" s="14">
        <f>IF($C39="","",IF(AND($F39&lt;&gt;"",$F39&gt;=$B$3,$E39&lt;=$B$3),$C39,""))</f>
        <v/>
      </c>
      <c r="K39" s="14">
        <f>IF($C39="","",IF(AND($E39&lt;&gt;"",$E39&gt;$B$3,COUNTIFS($C$6:$C$65,$C39,$E$6:$E$65,"&gt;"&amp;$B$3,$E$6:$E$65,"&lt;"&amp;$E39)=0),$C39,""))</f>
        <v/>
      </c>
      <c r="L39" s="14">
        <f>IF($C39="","",IF(AND($F39&lt;&gt;"",$F39&lt;$B$3,COUNTIFS($C$6:$C$65,$C39,$F$6:$F$65,"&lt;"&amp;$B$3,$F$6:$F$65,"&gt;"&amp;$F39)=0),$C39,""))</f>
        <v/>
      </c>
    </row>
    <row r="40">
      <c r="A40" s="11" t="n">
        <v>35</v>
      </c>
      <c r="B40" s="12" t="n"/>
      <c r="C40" s="12" t="n"/>
      <c r="D40" s="12" t="n"/>
      <c r="E40" s="8" t="n"/>
      <c r="F40" s="8" t="n"/>
      <c r="G40" s="13">
        <f>IF($C40="","",IF(AND($E40&lt;&gt;"",$E40&gt;$B$3),"予定",IF($F40="","要確認（終了日未入力）",IF($F40&lt;$B$3,"完了","施工中"))))</f>
        <v/>
      </c>
      <c r="H40" s="13">
        <f>IF(OR($E40="",$F40=""),"",$F40-$E40+1)</f>
        <v/>
      </c>
      <c r="I40" s="12" t="n"/>
      <c r="J40" s="14">
        <f>IF($C40="","",IF(AND($F40&lt;&gt;"",$F40&gt;=$B$3,$E40&lt;=$B$3),$C40,""))</f>
        <v/>
      </c>
      <c r="K40" s="14">
        <f>IF($C40="","",IF(AND($E40&lt;&gt;"",$E40&gt;$B$3,COUNTIFS($C$6:$C$65,$C40,$E$6:$E$65,"&gt;"&amp;$B$3,$E$6:$E$65,"&lt;"&amp;$E40)=0),$C40,""))</f>
        <v/>
      </c>
      <c r="L40" s="14">
        <f>IF($C40="","",IF(AND($F40&lt;&gt;"",$F40&lt;$B$3,COUNTIFS($C$6:$C$65,$C40,$F$6:$F$65,"&lt;"&amp;$B$3,$F$6:$F$65,"&gt;"&amp;$F40)=0),$C40,""))</f>
        <v/>
      </c>
    </row>
    <row r="41">
      <c r="A41" s="11" t="n">
        <v>36</v>
      </c>
      <c r="B41" s="12" t="n"/>
      <c r="C41" s="12" t="n"/>
      <c r="D41" s="12" t="n"/>
      <c r="E41" s="8" t="n"/>
      <c r="F41" s="8" t="n"/>
      <c r="G41" s="13">
        <f>IF($C41="","",IF(AND($E41&lt;&gt;"",$E41&gt;$B$3),"予定",IF($F41="","要確認（終了日未入力）",IF($F41&lt;$B$3,"完了","施工中"))))</f>
        <v/>
      </c>
      <c r="H41" s="13">
        <f>IF(OR($E41="",$F41=""),"",$F41-$E41+1)</f>
        <v/>
      </c>
      <c r="I41" s="12" t="n"/>
      <c r="J41" s="14">
        <f>IF($C41="","",IF(AND($F41&lt;&gt;"",$F41&gt;=$B$3,$E41&lt;=$B$3),$C41,""))</f>
        <v/>
      </c>
      <c r="K41" s="14">
        <f>IF($C41="","",IF(AND($E41&lt;&gt;"",$E41&gt;$B$3,COUNTIFS($C$6:$C$65,$C41,$E$6:$E$65,"&gt;"&amp;$B$3,$E$6:$E$65,"&lt;"&amp;$E41)=0),$C41,""))</f>
        <v/>
      </c>
      <c r="L41" s="14">
        <f>IF($C41="","",IF(AND($F41&lt;&gt;"",$F41&lt;$B$3,COUNTIFS($C$6:$C$65,$C41,$F$6:$F$65,"&lt;"&amp;$B$3,$F$6:$F$65,"&gt;"&amp;$F41)=0),$C41,""))</f>
        <v/>
      </c>
    </row>
    <row r="42">
      <c r="A42" s="11" t="n">
        <v>37</v>
      </c>
      <c r="B42" s="12" t="n"/>
      <c r="C42" s="12" t="n"/>
      <c r="D42" s="12" t="n"/>
      <c r="E42" s="8" t="n"/>
      <c r="F42" s="8" t="n"/>
      <c r="G42" s="13">
        <f>IF($C42="","",IF(AND($E42&lt;&gt;"",$E42&gt;$B$3),"予定",IF($F42="","要確認（終了日未入力）",IF($F42&lt;$B$3,"完了","施工中"))))</f>
        <v/>
      </c>
      <c r="H42" s="13">
        <f>IF(OR($E42="",$F42=""),"",$F42-$E42+1)</f>
        <v/>
      </c>
      <c r="I42" s="12" t="n"/>
      <c r="J42" s="14">
        <f>IF($C42="","",IF(AND($F42&lt;&gt;"",$F42&gt;=$B$3,$E42&lt;=$B$3),$C42,""))</f>
        <v/>
      </c>
      <c r="K42" s="14">
        <f>IF($C42="","",IF(AND($E42&lt;&gt;"",$E42&gt;$B$3,COUNTIFS($C$6:$C$65,$C42,$E$6:$E$65,"&gt;"&amp;$B$3,$E$6:$E$65,"&lt;"&amp;$E42)=0),$C42,""))</f>
        <v/>
      </c>
      <c r="L42" s="14">
        <f>IF($C42="","",IF(AND($F42&lt;&gt;"",$F42&lt;$B$3,COUNTIFS($C$6:$C$65,$C42,$F$6:$F$65,"&lt;"&amp;$B$3,$F$6:$F$65,"&gt;"&amp;$F42)=0),$C42,""))</f>
        <v/>
      </c>
    </row>
    <row r="43">
      <c r="A43" s="11" t="n">
        <v>38</v>
      </c>
      <c r="B43" s="12" t="n"/>
      <c r="C43" s="12" t="n"/>
      <c r="D43" s="12" t="n"/>
      <c r="E43" s="8" t="n"/>
      <c r="F43" s="8" t="n"/>
      <c r="G43" s="13">
        <f>IF($C43="","",IF(AND($E43&lt;&gt;"",$E43&gt;$B$3),"予定",IF($F43="","要確認（終了日未入力）",IF($F43&lt;$B$3,"完了","施工中"))))</f>
        <v/>
      </c>
      <c r="H43" s="13">
        <f>IF(OR($E43="",$F43=""),"",$F43-$E43+1)</f>
        <v/>
      </c>
      <c r="I43" s="12" t="n"/>
      <c r="J43" s="14">
        <f>IF($C43="","",IF(AND($F43&lt;&gt;"",$F43&gt;=$B$3,$E43&lt;=$B$3),$C43,""))</f>
        <v/>
      </c>
      <c r="K43" s="14">
        <f>IF($C43="","",IF(AND($E43&lt;&gt;"",$E43&gt;$B$3,COUNTIFS($C$6:$C$65,$C43,$E$6:$E$65,"&gt;"&amp;$B$3,$E$6:$E$65,"&lt;"&amp;$E43)=0),$C43,""))</f>
        <v/>
      </c>
      <c r="L43" s="14">
        <f>IF($C43="","",IF(AND($F43&lt;&gt;"",$F43&lt;$B$3,COUNTIFS($C$6:$C$65,$C43,$F$6:$F$65,"&lt;"&amp;$B$3,$F$6:$F$65,"&gt;"&amp;$F43)=0),$C43,""))</f>
        <v/>
      </c>
    </row>
    <row r="44">
      <c r="A44" s="11" t="n">
        <v>39</v>
      </c>
      <c r="B44" s="12" t="n"/>
      <c r="C44" s="12" t="n"/>
      <c r="D44" s="12" t="n"/>
      <c r="E44" s="8" t="n"/>
      <c r="F44" s="8" t="n"/>
      <c r="G44" s="13">
        <f>IF($C44="","",IF(AND($E44&lt;&gt;"",$E44&gt;$B$3),"予定",IF($F44="","要確認（終了日未入力）",IF($F44&lt;$B$3,"完了","施工中"))))</f>
        <v/>
      </c>
      <c r="H44" s="13">
        <f>IF(OR($E44="",$F44=""),"",$F44-$E44+1)</f>
        <v/>
      </c>
      <c r="I44" s="12" t="n"/>
      <c r="J44" s="14">
        <f>IF($C44="","",IF(AND($F44&lt;&gt;"",$F44&gt;=$B$3,$E44&lt;=$B$3),$C44,""))</f>
        <v/>
      </c>
      <c r="K44" s="14">
        <f>IF($C44="","",IF(AND($E44&lt;&gt;"",$E44&gt;$B$3,COUNTIFS($C$6:$C$65,$C44,$E$6:$E$65,"&gt;"&amp;$B$3,$E$6:$E$65,"&lt;"&amp;$E44)=0),$C44,""))</f>
        <v/>
      </c>
      <c r="L44" s="14">
        <f>IF($C44="","",IF(AND($F44&lt;&gt;"",$F44&lt;$B$3,COUNTIFS($C$6:$C$65,$C44,$F$6:$F$65,"&lt;"&amp;$B$3,$F$6:$F$65,"&gt;"&amp;$F44)=0),$C44,""))</f>
        <v/>
      </c>
    </row>
    <row r="45">
      <c r="A45" s="11" t="n">
        <v>40</v>
      </c>
      <c r="B45" s="12" t="n"/>
      <c r="C45" s="12" t="n"/>
      <c r="D45" s="12" t="n"/>
      <c r="E45" s="8" t="n"/>
      <c r="F45" s="8" t="n"/>
      <c r="G45" s="13">
        <f>IF($C45="","",IF(AND($E45&lt;&gt;"",$E45&gt;$B$3),"予定",IF($F45="","要確認（終了日未入力）",IF($F45&lt;$B$3,"完了","施工中"))))</f>
        <v/>
      </c>
      <c r="H45" s="13">
        <f>IF(OR($E45="",$F45=""),"",$F45-$E45+1)</f>
        <v/>
      </c>
      <c r="I45" s="12" t="n"/>
      <c r="J45" s="14">
        <f>IF($C45="","",IF(AND($F45&lt;&gt;"",$F45&gt;=$B$3,$E45&lt;=$B$3),$C45,""))</f>
        <v/>
      </c>
      <c r="K45" s="14">
        <f>IF($C45="","",IF(AND($E45&lt;&gt;"",$E45&gt;$B$3,COUNTIFS($C$6:$C$65,$C45,$E$6:$E$65,"&gt;"&amp;$B$3,$E$6:$E$65,"&lt;"&amp;$E45)=0),$C45,""))</f>
        <v/>
      </c>
      <c r="L45" s="14">
        <f>IF($C45="","",IF(AND($F45&lt;&gt;"",$F45&lt;$B$3,COUNTIFS($C$6:$C$65,$C45,$F$6:$F$65,"&lt;"&amp;$B$3,$F$6:$F$65,"&gt;"&amp;$F45)=0),$C45,""))</f>
        <v/>
      </c>
    </row>
    <row r="46">
      <c r="A46" s="11" t="n">
        <v>41</v>
      </c>
      <c r="B46" s="12" t="n"/>
      <c r="C46" s="12" t="n"/>
      <c r="D46" s="12" t="n"/>
      <c r="E46" s="8" t="n"/>
      <c r="F46" s="8" t="n"/>
      <c r="G46" s="13">
        <f>IF($C46="","",IF(AND($E46&lt;&gt;"",$E46&gt;$B$3),"予定",IF($F46="","要確認（終了日未入力）",IF($F46&lt;$B$3,"完了","施工中"))))</f>
        <v/>
      </c>
      <c r="H46" s="13">
        <f>IF(OR($E46="",$F46=""),"",$F46-$E46+1)</f>
        <v/>
      </c>
      <c r="I46" s="12" t="n"/>
      <c r="J46" s="14">
        <f>IF($C46="","",IF(AND($F46&lt;&gt;"",$F46&gt;=$B$3,$E46&lt;=$B$3),$C46,""))</f>
        <v/>
      </c>
      <c r="K46" s="14">
        <f>IF($C46="","",IF(AND($E46&lt;&gt;"",$E46&gt;$B$3,COUNTIFS($C$6:$C$65,$C46,$E$6:$E$65,"&gt;"&amp;$B$3,$E$6:$E$65,"&lt;"&amp;$E46)=0),$C46,""))</f>
        <v/>
      </c>
      <c r="L46" s="14">
        <f>IF($C46="","",IF(AND($F46&lt;&gt;"",$F46&lt;$B$3,COUNTIFS($C$6:$C$65,$C46,$F$6:$F$65,"&lt;"&amp;$B$3,$F$6:$F$65,"&gt;"&amp;$F46)=0),$C46,""))</f>
        <v/>
      </c>
    </row>
    <row r="47">
      <c r="A47" s="11" t="n">
        <v>42</v>
      </c>
      <c r="B47" s="12" t="n"/>
      <c r="C47" s="12" t="n"/>
      <c r="D47" s="12" t="n"/>
      <c r="E47" s="8" t="n"/>
      <c r="F47" s="8" t="n"/>
      <c r="G47" s="13">
        <f>IF($C47="","",IF(AND($E47&lt;&gt;"",$E47&gt;$B$3),"予定",IF($F47="","要確認（終了日未入力）",IF($F47&lt;$B$3,"完了","施工中"))))</f>
        <v/>
      </c>
      <c r="H47" s="13">
        <f>IF(OR($E47="",$F47=""),"",$F47-$E47+1)</f>
        <v/>
      </c>
      <c r="I47" s="12" t="n"/>
      <c r="J47" s="14">
        <f>IF($C47="","",IF(AND($F47&lt;&gt;"",$F47&gt;=$B$3,$E47&lt;=$B$3),$C47,""))</f>
        <v/>
      </c>
      <c r="K47" s="14">
        <f>IF($C47="","",IF(AND($E47&lt;&gt;"",$E47&gt;$B$3,COUNTIFS($C$6:$C$65,$C47,$E$6:$E$65,"&gt;"&amp;$B$3,$E$6:$E$65,"&lt;"&amp;$E47)=0),$C47,""))</f>
        <v/>
      </c>
      <c r="L47" s="14">
        <f>IF($C47="","",IF(AND($F47&lt;&gt;"",$F47&lt;$B$3,COUNTIFS($C$6:$C$65,$C47,$F$6:$F$65,"&lt;"&amp;$B$3,$F$6:$F$65,"&gt;"&amp;$F47)=0),$C47,""))</f>
        <v/>
      </c>
    </row>
    <row r="48">
      <c r="A48" s="11" t="n">
        <v>43</v>
      </c>
      <c r="B48" s="12" t="n"/>
      <c r="C48" s="12" t="n"/>
      <c r="D48" s="12" t="n"/>
      <c r="E48" s="8" t="n"/>
      <c r="F48" s="8" t="n"/>
      <c r="G48" s="13">
        <f>IF($C48="","",IF(AND($E48&lt;&gt;"",$E48&gt;$B$3),"予定",IF($F48="","要確認（終了日未入力）",IF($F48&lt;$B$3,"完了","施工中"))))</f>
        <v/>
      </c>
      <c r="H48" s="13">
        <f>IF(OR($E48="",$F48=""),"",$F48-$E48+1)</f>
        <v/>
      </c>
      <c r="I48" s="12" t="n"/>
      <c r="J48" s="14">
        <f>IF($C48="","",IF(AND($F48&lt;&gt;"",$F48&gt;=$B$3,$E48&lt;=$B$3),$C48,""))</f>
        <v/>
      </c>
      <c r="K48" s="14">
        <f>IF($C48="","",IF(AND($E48&lt;&gt;"",$E48&gt;$B$3,COUNTIFS($C$6:$C$65,$C48,$E$6:$E$65,"&gt;"&amp;$B$3,$E$6:$E$65,"&lt;"&amp;$E48)=0),$C48,""))</f>
        <v/>
      </c>
      <c r="L48" s="14">
        <f>IF($C48="","",IF(AND($F48&lt;&gt;"",$F48&lt;$B$3,COUNTIFS($C$6:$C$65,$C48,$F$6:$F$65,"&lt;"&amp;$B$3,$F$6:$F$65,"&gt;"&amp;$F48)=0),$C48,""))</f>
        <v/>
      </c>
    </row>
    <row r="49">
      <c r="A49" s="11" t="n">
        <v>44</v>
      </c>
      <c r="B49" s="12" t="n"/>
      <c r="C49" s="12" t="n"/>
      <c r="D49" s="12" t="n"/>
      <c r="E49" s="8" t="n"/>
      <c r="F49" s="8" t="n"/>
      <c r="G49" s="13">
        <f>IF($C49="","",IF(AND($E49&lt;&gt;"",$E49&gt;$B$3),"予定",IF($F49="","要確認（終了日未入力）",IF($F49&lt;$B$3,"完了","施工中"))))</f>
        <v/>
      </c>
      <c r="H49" s="13">
        <f>IF(OR($E49="",$F49=""),"",$F49-$E49+1)</f>
        <v/>
      </c>
      <c r="I49" s="12" t="n"/>
      <c r="J49" s="14">
        <f>IF($C49="","",IF(AND($F49&lt;&gt;"",$F49&gt;=$B$3,$E49&lt;=$B$3),$C49,""))</f>
        <v/>
      </c>
      <c r="K49" s="14">
        <f>IF($C49="","",IF(AND($E49&lt;&gt;"",$E49&gt;$B$3,COUNTIFS($C$6:$C$65,$C49,$E$6:$E$65,"&gt;"&amp;$B$3,$E$6:$E$65,"&lt;"&amp;$E49)=0),$C49,""))</f>
        <v/>
      </c>
      <c r="L49" s="14">
        <f>IF($C49="","",IF(AND($F49&lt;&gt;"",$F49&lt;$B$3,COUNTIFS($C$6:$C$65,$C49,$F$6:$F$65,"&lt;"&amp;$B$3,$F$6:$F$65,"&gt;"&amp;$F49)=0),$C49,""))</f>
        <v/>
      </c>
    </row>
    <row r="50">
      <c r="A50" s="11" t="n">
        <v>45</v>
      </c>
      <c r="B50" s="12" t="n"/>
      <c r="C50" s="12" t="n"/>
      <c r="D50" s="12" t="n"/>
      <c r="E50" s="8" t="n"/>
      <c r="F50" s="8" t="n"/>
      <c r="G50" s="13">
        <f>IF($C50="","",IF(AND($E50&lt;&gt;"",$E50&gt;$B$3),"予定",IF($F50="","要確認（終了日未入力）",IF($F50&lt;$B$3,"完了","施工中"))))</f>
        <v/>
      </c>
      <c r="H50" s="13">
        <f>IF(OR($E50="",$F50=""),"",$F50-$E50+1)</f>
        <v/>
      </c>
      <c r="I50" s="12" t="n"/>
      <c r="J50" s="14">
        <f>IF($C50="","",IF(AND($F50&lt;&gt;"",$F50&gt;=$B$3,$E50&lt;=$B$3),$C50,""))</f>
        <v/>
      </c>
      <c r="K50" s="14">
        <f>IF($C50="","",IF(AND($E50&lt;&gt;"",$E50&gt;$B$3,COUNTIFS($C$6:$C$65,$C50,$E$6:$E$65,"&gt;"&amp;$B$3,$E$6:$E$65,"&lt;"&amp;$E50)=0),$C50,""))</f>
        <v/>
      </c>
      <c r="L50" s="14">
        <f>IF($C50="","",IF(AND($F50&lt;&gt;"",$F50&lt;$B$3,COUNTIFS($C$6:$C$65,$C50,$F$6:$F$65,"&lt;"&amp;$B$3,$F$6:$F$65,"&gt;"&amp;$F50)=0),$C50,""))</f>
        <v/>
      </c>
    </row>
    <row r="51">
      <c r="A51" s="11" t="n">
        <v>46</v>
      </c>
      <c r="B51" s="12" t="n"/>
      <c r="C51" s="12" t="n"/>
      <c r="D51" s="12" t="n"/>
      <c r="E51" s="8" t="n"/>
      <c r="F51" s="8" t="n"/>
      <c r="G51" s="13">
        <f>IF($C51="","",IF(AND($E51&lt;&gt;"",$E51&gt;$B$3),"予定",IF($F51="","要確認（終了日未入力）",IF($F51&lt;$B$3,"完了","施工中"))))</f>
        <v/>
      </c>
      <c r="H51" s="13">
        <f>IF(OR($E51="",$F51=""),"",$F51-$E51+1)</f>
        <v/>
      </c>
      <c r="I51" s="12" t="n"/>
      <c r="J51" s="14">
        <f>IF($C51="","",IF(AND($F51&lt;&gt;"",$F51&gt;=$B$3,$E51&lt;=$B$3),$C51,""))</f>
        <v/>
      </c>
      <c r="K51" s="14">
        <f>IF($C51="","",IF(AND($E51&lt;&gt;"",$E51&gt;$B$3,COUNTIFS($C$6:$C$65,$C51,$E$6:$E$65,"&gt;"&amp;$B$3,$E$6:$E$65,"&lt;"&amp;$E51)=0),$C51,""))</f>
        <v/>
      </c>
      <c r="L51" s="14">
        <f>IF($C51="","",IF(AND($F51&lt;&gt;"",$F51&lt;$B$3,COUNTIFS($C$6:$C$65,$C51,$F$6:$F$65,"&lt;"&amp;$B$3,$F$6:$F$65,"&gt;"&amp;$F51)=0),$C51,""))</f>
        <v/>
      </c>
    </row>
    <row r="52">
      <c r="A52" s="11" t="n">
        <v>47</v>
      </c>
      <c r="B52" s="12" t="n"/>
      <c r="C52" s="12" t="n"/>
      <c r="D52" s="12" t="n"/>
      <c r="E52" s="8" t="n"/>
      <c r="F52" s="8" t="n"/>
      <c r="G52" s="13">
        <f>IF($C52="","",IF(AND($E52&lt;&gt;"",$E52&gt;$B$3),"予定",IF($F52="","要確認（終了日未入力）",IF($F52&lt;$B$3,"完了","施工中"))))</f>
        <v/>
      </c>
      <c r="H52" s="13">
        <f>IF(OR($E52="",$F52=""),"",$F52-$E52+1)</f>
        <v/>
      </c>
      <c r="I52" s="12" t="n"/>
      <c r="J52" s="14">
        <f>IF($C52="","",IF(AND($F52&lt;&gt;"",$F52&gt;=$B$3,$E52&lt;=$B$3),$C52,""))</f>
        <v/>
      </c>
      <c r="K52" s="14">
        <f>IF($C52="","",IF(AND($E52&lt;&gt;"",$E52&gt;$B$3,COUNTIFS($C$6:$C$65,$C52,$E$6:$E$65,"&gt;"&amp;$B$3,$E$6:$E$65,"&lt;"&amp;$E52)=0),$C52,""))</f>
        <v/>
      </c>
      <c r="L52" s="14">
        <f>IF($C52="","",IF(AND($F52&lt;&gt;"",$F52&lt;$B$3,COUNTIFS($C$6:$C$65,$C52,$F$6:$F$65,"&lt;"&amp;$B$3,$F$6:$F$65,"&gt;"&amp;$F52)=0),$C52,""))</f>
        <v/>
      </c>
    </row>
    <row r="53">
      <c r="A53" s="11" t="n">
        <v>48</v>
      </c>
      <c r="B53" s="12" t="n"/>
      <c r="C53" s="12" t="n"/>
      <c r="D53" s="12" t="n"/>
      <c r="E53" s="8" t="n"/>
      <c r="F53" s="8" t="n"/>
      <c r="G53" s="13">
        <f>IF($C53="","",IF(AND($E53&lt;&gt;"",$E53&gt;$B$3),"予定",IF($F53="","要確認（終了日未入力）",IF($F53&lt;$B$3,"完了","施工中"))))</f>
        <v/>
      </c>
      <c r="H53" s="13">
        <f>IF(OR($E53="",$F53=""),"",$F53-$E53+1)</f>
        <v/>
      </c>
      <c r="I53" s="12" t="n"/>
      <c r="J53" s="14">
        <f>IF($C53="","",IF(AND($F53&lt;&gt;"",$F53&gt;=$B$3,$E53&lt;=$B$3),$C53,""))</f>
        <v/>
      </c>
      <c r="K53" s="14">
        <f>IF($C53="","",IF(AND($E53&lt;&gt;"",$E53&gt;$B$3,COUNTIFS($C$6:$C$65,$C53,$E$6:$E$65,"&gt;"&amp;$B$3,$E$6:$E$65,"&lt;"&amp;$E53)=0),$C53,""))</f>
        <v/>
      </c>
      <c r="L53" s="14">
        <f>IF($C53="","",IF(AND($F53&lt;&gt;"",$F53&lt;$B$3,COUNTIFS($C$6:$C$65,$C53,$F$6:$F$65,"&lt;"&amp;$B$3,$F$6:$F$65,"&gt;"&amp;$F53)=0),$C53,""))</f>
        <v/>
      </c>
    </row>
    <row r="54">
      <c r="A54" s="11" t="n">
        <v>49</v>
      </c>
      <c r="B54" s="12" t="n"/>
      <c r="C54" s="12" t="n"/>
      <c r="D54" s="12" t="n"/>
      <c r="E54" s="8" t="n"/>
      <c r="F54" s="8" t="n"/>
      <c r="G54" s="13">
        <f>IF($C54="","",IF(AND($E54&lt;&gt;"",$E54&gt;$B$3),"予定",IF($F54="","要確認（終了日未入力）",IF($F54&lt;$B$3,"完了","施工中"))))</f>
        <v/>
      </c>
      <c r="H54" s="13">
        <f>IF(OR($E54="",$F54=""),"",$F54-$E54+1)</f>
        <v/>
      </c>
      <c r="I54" s="12" t="n"/>
      <c r="J54" s="14">
        <f>IF($C54="","",IF(AND($F54&lt;&gt;"",$F54&gt;=$B$3,$E54&lt;=$B$3),$C54,""))</f>
        <v/>
      </c>
      <c r="K54" s="14">
        <f>IF($C54="","",IF(AND($E54&lt;&gt;"",$E54&gt;$B$3,COUNTIFS($C$6:$C$65,$C54,$E$6:$E$65,"&gt;"&amp;$B$3,$E$6:$E$65,"&lt;"&amp;$E54)=0),$C54,""))</f>
        <v/>
      </c>
      <c r="L54" s="14">
        <f>IF($C54="","",IF(AND($F54&lt;&gt;"",$F54&lt;$B$3,COUNTIFS($C$6:$C$65,$C54,$F$6:$F$65,"&lt;"&amp;$B$3,$F$6:$F$65,"&gt;"&amp;$F54)=0),$C54,""))</f>
        <v/>
      </c>
    </row>
    <row r="55">
      <c r="A55" s="11" t="n">
        <v>50</v>
      </c>
      <c r="B55" s="12" t="n"/>
      <c r="C55" s="12" t="n"/>
      <c r="D55" s="12" t="n"/>
      <c r="E55" s="8" t="n"/>
      <c r="F55" s="8" t="n"/>
      <c r="G55" s="13">
        <f>IF($C55="","",IF(AND($E55&lt;&gt;"",$E55&gt;$B$3),"予定",IF($F55="","要確認（終了日未入力）",IF($F55&lt;$B$3,"完了","施工中"))))</f>
        <v/>
      </c>
      <c r="H55" s="13">
        <f>IF(OR($E55="",$F55=""),"",$F55-$E55+1)</f>
        <v/>
      </c>
      <c r="I55" s="12" t="n"/>
      <c r="J55" s="14">
        <f>IF($C55="","",IF(AND($F55&lt;&gt;"",$F55&gt;=$B$3,$E55&lt;=$B$3),$C55,""))</f>
        <v/>
      </c>
      <c r="K55" s="14">
        <f>IF($C55="","",IF(AND($E55&lt;&gt;"",$E55&gt;$B$3,COUNTIFS($C$6:$C$65,$C55,$E$6:$E$65,"&gt;"&amp;$B$3,$E$6:$E$65,"&lt;"&amp;$E55)=0),$C55,""))</f>
        <v/>
      </c>
      <c r="L55" s="14">
        <f>IF($C55="","",IF(AND($F55&lt;&gt;"",$F55&lt;$B$3,COUNTIFS($C$6:$C$65,$C55,$F$6:$F$65,"&lt;"&amp;$B$3,$F$6:$F$65,"&gt;"&amp;$F55)=0),$C55,""))</f>
        <v/>
      </c>
    </row>
    <row r="56">
      <c r="A56" s="11" t="n">
        <v>51</v>
      </c>
      <c r="B56" s="12" t="n"/>
      <c r="C56" s="12" t="n"/>
      <c r="D56" s="12" t="n"/>
      <c r="E56" s="8" t="n"/>
      <c r="F56" s="8" t="n"/>
      <c r="G56" s="13">
        <f>IF($C56="","",IF(AND($E56&lt;&gt;"",$E56&gt;$B$3),"予定",IF($F56="","要確認（終了日未入力）",IF($F56&lt;$B$3,"完了","施工中"))))</f>
        <v/>
      </c>
      <c r="H56" s="13">
        <f>IF(OR($E56="",$F56=""),"",$F56-$E56+1)</f>
        <v/>
      </c>
      <c r="I56" s="12" t="n"/>
      <c r="J56" s="14">
        <f>IF($C56="","",IF(AND($F56&lt;&gt;"",$F56&gt;=$B$3,$E56&lt;=$B$3),$C56,""))</f>
        <v/>
      </c>
      <c r="K56" s="14">
        <f>IF($C56="","",IF(AND($E56&lt;&gt;"",$E56&gt;$B$3,COUNTIFS($C$6:$C$65,$C56,$E$6:$E$65,"&gt;"&amp;$B$3,$E$6:$E$65,"&lt;"&amp;$E56)=0),$C56,""))</f>
        <v/>
      </c>
      <c r="L56" s="14">
        <f>IF($C56="","",IF(AND($F56&lt;&gt;"",$F56&lt;$B$3,COUNTIFS($C$6:$C$65,$C56,$F$6:$F$65,"&lt;"&amp;$B$3,$F$6:$F$65,"&gt;"&amp;$F56)=0),$C56,""))</f>
        <v/>
      </c>
    </row>
    <row r="57">
      <c r="A57" s="11" t="n">
        <v>52</v>
      </c>
      <c r="B57" s="12" t="n"/>
      <c r="C57" s="12" t="n"/>
      <c r="D57" s="12" t="n"/>
      <c r="E57" s="8" t="n"/>
      <c r="F57" s="8" t="n"/>
      <c r="G57" s="13">
        <f>IF($C57="","",IF(AND($E57&lt;&gt;"",$E57&gt;$B$3),"予定",IF($F57="","要確認（終了日未入力）",IF($F57&lt;$B$3,"完了","施工中"))))</f>
        <v/>
      </c>
      <c r="H57" s="13">
        <f>IF(OR($E57="",$F57=""),"",$F57-$E57+1)</f>
        <v/>
      </c>
      <c r="I57" s="12" t="n"/>
      <c r="J57" s="14">
        <f>IF($C57="","",IF(AND($F57&lt;&gt;"",$F57&gt;=$B$3,$E57&lt;=$B$3),$C57,""))</f>
        <v/>
      </c>
      <c r="K57" s="14">
        <f>IF($C57="","",IF(AND($E57&lt;&gt;"",$E57&gt;$B$3,COUNTIFS($C$6:$C$65,$C57,$E$6:$E$65,"&gt;"&amp;$B$3,$E$6:$E$65,"&lt;"&amp;$E57)=0),$C57,""))</f>
        <v/>
      </c>
      <c r="L57" s="14">
        <f>IF($C57="","",IF(AND($F57&lt;&gt;"",$F57&lt;$B$3,COUNTIFS($C$6:$C$65,$C57,$F$6:$F$65,"&lt;"&amp;$B$3,$F$6:$F$65,"&gt;"&amp;$F57)=0),$C57,""))</f>
        <v/>
      </c>
    </row>
    <row r="58">
      <c r="A58" s="11" t="n">
        <v>53</v>
      </c>
      <c r="B58" s="12" t="n"/>
      <c r="C58" s="12" t="n"/>
      <c r="D58" s="12" t="n"/>
      <c r="E58" s="8" t="n"/>
      <c r="F58" s="8" t="n"/>
      <c r="G58" s="13">
        <f>IF($C58="","",IF(AND($E58&lt;&gt;"",$E58&gt;$B$3),"予定",IF($F58="","要確認（終了日未入力）",IF($F58&lt;$B$3,"完了","施工中"))))</f>
        <v/>
      </c>
      <c r="H58" s="13">
        <f>IF(OR($E58="",$F58=""),"",$F58-$E58+1)</f>
        <v/>
      </c>
      <c r="I58" s="12" t="n"/>
      <c r="J58" s="14">
        <f>IF($C58="","",IF(AND($F58&lt;&gt;"",$F58&gt;=$B$3,$E58&lt;=$B$3),$C58,""))</f>
        <v/>
      </c>
      <c r="K58" s="14">
        <f>IF($C58="","",IF(AND($E58&lt;&gt;"",$E58&gt;$B$3,COUNTIFS($C$6:$C$65,$C58,$E$6:$E$65,"&gt;"&amp;$B$3,$E$6:$E$65,"&lt;"&amp;$E58)=0),$C58,""))</f>
        <v/>
      </c>
      <c r="L58" s="14">
        <f>IF($C58="","",IF(AND($F58&lt;&gt;"",$F58&lt;$B$3,COUNTIFS($C$6:$C$65,$C58,$F$6:$F$65,"&lt;"&amp;$B$3,$F$6:$F$65,"&gt;"&amp;$F58)=0),$C58,""))</f>
        <v/>
      </c>
    </row>
    <row r="59">
      <c r="A59" s="11" t="n">
        <v>54</v>
      </c>
      <c r="B59" s="12" t="n"/>
      <c r="C59" s="12" t="n"/>
      <c r="D59" s="12" t="n"/>
      <c r="E59" s="8" t="n"/>
      <c r="F59" s="8" t="n"/>
      <c r="G59" s="13">
        <f>IF($C59="","",IF(AND($E59&lt;&gt;"",$E59&gt;$B$3),"予定",IF($F59="","要確認（終了日未入力）",IF($F59&lt;$B$3,"完了","施工中"))))</f>
        <v/>
      </c>
      <c r="H59" s="13">
        <f>IF(OR($E59="",$F59=""),"",$F59-$E59+1)</f>
        <v/>
      </c>
      <c r="I59" s="12" t="n"/>
      <c r="J59" s="14">
        <f>IF($C59="","",IF(AND($F59&lt;&gt;"",$F59&gt;=$B$3,$E59&lt;=$B$3),$C59,""))</f>
        <v/>
      </c>
      <c r="K59" s="14">
        <f>IF($C59="","",IF(AND($E59&lt;&gt;"",$E59&gt;$B$3,COUNTIFS($C$6:$C$65,$C59,$E$6:$E$65,"&gt;"&amp;$B$3,$E$6:$E$65,"&lt;"&amp;$E59)=0),$C59,""))</f>
        <v/>
      </c>
      <c r="L59" s="14">
        <f>IF($C59="","",IF(AND($F59&lt;&gt;"",$F59&lt;$B$3,COUNTIFS($C$6:$C$65,$C59,$F$6:$F$65,"&lt;"&amp;$B$3,$F$6:$F$65,"&gt;"&amp;$F59)=0),$C59,""))</f>
        <v/>
      </c>
    </row>
    <row r="60">
      <c r="A60" s="11" t="n">
        <v>55</v>
      </c>
      <c r="B60" s="12" t="n"/>
      <c r="C60" s="12" t="n"/>
      <c r="D60" s="12" t="n"/>
      <c r="E60" s="8" t="n"/>
      <c r="F60" s="8" t="n"/>
      <c r="G60" s="13">
        <f>IF($C60="","",IF(AND($E60&lt;&gt;"",$E60&gt;$B$3),"予定",IF($F60="","要確認（終了日未入力）",IF($F60&lt;$B$3,"完了","施工中"))))</f>
        <v/>
      </c>
      <c r="H60" s="13">
        <f>IF(OR($E60="",$F60=""),"",$F60-$E60+1)</f>
        <v/>
      </c>
      <c r="I60" s="12" t="n"/>
      <c r="J60" s="14">
        <f>IF($C60="","",IF(AND($F60&lt;&gt;"",$F60&gt;=$B$3,$E60&lt;=$B$3),$C60,""))</f>
        <v/>
      </c>
      <c r="K60" s="14">
        <f>IF($C60="","",IF(AND($E60&lt;&gt;"",$E60&gt;$B$3,COUNTIFS($C$6:$C$65,$C60,$E$6:$E$65,"&gt;"&amp;$B$3,$E$6:$E$65,"&lt;"&amp;$E60)=0),$C60,""))</f>
        <v/>
      </c>
      <c r="L60" s="14">
        <f>IF($C60="","",IF(AND($F60&lt;&gt;"",$F60&lt;$B$3,COUNTIFS($C$6:$C$65,$C60,$F$6:$F$65,"&lt;"&amp;$B$3,$F$6:$F$65,"&gt;"&amp;$F60)=0),$C60,""))</f>
        <v/>
      </c>
    </row>
    <row r="61">
      <c r="A61" s="11" t="n">
        <v>56</v>
      </c>
      <c r="B61" s="12" t="n"/>
      <c r="C61" s="12" t="n"/>
      <c r="D61" s="12" t="n"/>
      <c r="E61" s="8" t="n"/>
      <c r="F61" s="8" t="n"/>
      <c r="G61" s="13">
        <f>IF($C61="","",IF(AND($E61&lt;&gt;"",$E61&gt;$B$3),"予定",IF($F61="","要確認（終了日未入力）",IF($F61&lt;$B$3,"完了","施工中"))))</f>
        <v/>
      </c>
      <c r="H61" s="13">
        <f>IF(OR($E61="",$F61=""),"",$F61-$E61+1)</f>
        <v/>
      </c>
      <c r="I61" s="12" t="n"/>
      <c r="J61" s="14">
        <f>IF($C61="","",IF(AND($F61&lt;&gt;"",$F61&gt;=$B$3,$E61&lt;=$B$3),$C61,""))</f>
        <v/>
      </c>
      <c r="K61" s="14">
        <f>IF($C61="","",IF(AND($E61&lt;&gt;"",$E61&gt;$B$3,COUNTIFS($C$6:$C$65,$C61,$E$6:$E$65,"&gt;"&amp;$B$3,$E$6:$E$65,"&lt;"&amp;$E61)=0),$C61,""))</f>
        <v/>
      </c>
      <c r="L61" s="14">
        <f>IF($C61="","",IF(AND($F61&lt;&gt;"",$F61&lt;$B$3,COUNTIFS($C$6:$C$65,$C61,$F$6:$F$65,"&lt;"&amp;$B$3,$F$6:$F$65,"&gt;"&amp;$F61)=0),$C61,""))</f>
        <v/>
      </c>
    </row>
    <row r="62">
      <c r="A62" s="11" t="n">
        <v>57</v>
      </c>
      <c r="B62" s="12" t="n"/>
      <c r="C62" s="12" t="n"/>
      <c r="D62" s="12" t="n"/>
      <c r="E62" s="8" t="n"/>
      <c r="F62" s="8" t="n"/>
      <c r="G62" s="13">
        <f>IF($C62="","",IF(AND($E62&lt;&gt;"",$E62&gt;$B$3),"予定",IF($F62="","要確認（終了日未入力）",IF($F62&lt;$B$3,"完了","施工中"))))</f>
        <v/>
      </c>
      <c r="H62" s="13">
        <f>IF(OR($E62="",$F62=""),"",$F62-$E62+1)</f>
        <v/>
      </c>
      <c r="I62" s="12" t="n"/>
      <c r="J62" s="14">
        <f>IF($C62="","",IF(AND($F62&lt;&gt;"",$F62&gt;=$B$3,$E62&lt;=$B$3),$C62,""))</f>
        <v/>
      </c>
      <c r="K62" s="14">
        <f>IF($C62="","",IF(AND($E62&lt;&gt;"",$E62&gt;$B$3,COUNTIFS($C$6:$C$65,$C62,$E$6:$E$65,"&gt;"&amp;$B$3,$E$6:$E$65,"&lt;"&amp;$E62)=0),$C62,""))</f>
        <v/>
      </c>
      <c r="L62" s="14">
        <f>IF($C62="","",IF(AND($F62&lt;&gt;"",$F62&lt;$B$3,COUNTIFS($C$6:$C$65,$C62,$F$6:$F$65,"&lt;"&amp;$B$3,$F$6:$F$65,"&gt;"&amp;$F62)=0),$C62,""))</f>
        <v/>
      </c>
    </row>
    <row r="63">
      <c r="A63" s="11" t="n">
        <v>58</v>
      </c>
      <c r="B63" s="12" t="n"/>
      <c r="C63" s="12" t="n"/>
      <c r="D63" s="12" t="n"/>
      <c r="E63" s="8" t="n"/>
      <c r="F63" s="8" t="n"/>
      <c r="G63" s="13">
        <f>IF($C63="","",IF(AND($E63&lt;&gt;"",$E63&gt;$B$3),"予定",IF($F63="","要確認（終了日未入力）",IF($F63&lt;$B$3,"完了","施工中"))))</f>
        <v/>
      </c>
      <c r="H63" s="13">
        <f>IF(OR($E63="",$F63=""),"",$F63-$E63+1)</f>
        <v/>
      </c>
      <c r="I63" s="12" t="n"/>
      <c r="J63" s="14">
        <f>IF($C63="","",IF(AND($F63&lt;&gt;"",$F63&gt;=$B$3,$E63&lt;=$B$3),$C63,""))</f>
        <v/>
      </c>
      <c r="K63" s="14">
        <f>IF($C63="","",IF(AND($E63&lt;&gt;"",$E63&gt;$B$3,COUNTIFS($C$6:$C$65,$C63,$E$6:$E$65,"&gt;"&amp;$B$3,$E$6:$E$65,"&lt;"&amp;$E63)=0),$C63,""))</f>
        <v/>
      </c>
      <c r="L63" s="14">
        <f>IF($C63="","",IF(AND($F63&lt;&gt;"",$F63&lt;$B$3,COUNTIFS($C$6:$C$65,$C63,$F$6:$F$65,"&lt;"&amp;$B$3,$F$6:$F$65,"&gt;"&amp;$F63)=0),$C63,""))</f>
        <v/>
      </c>
    </row>
    <row r="64">
      <c r="A64" s="11" t="n">
        <v>59</v>
      </c>
      <c r="B64" s="12" t="n"/>
      <c r="C64" s="12" t="n"/>
      <c r="D64" s="12" t="n"/>
      <c r="E64" s="8" t="n"/>
      <c r="F64" s="8" t="n"/>
      <c r="G64" s="13">
        <f>IF($C64="","",IF(AND($E64&lt;&gt;"",$E64&gt;$B$3),"予定",IF($F64="","要確認（終了日未入力）",IF($F64&lt;$B$3,"完了","施工中"))))</f>
        <v/>
      </c>
      <c r="H64" s="13">
        <f>IF(OR($E64="",$F64=""),"",$F64-$E64+1)</f>
        <v/>
      </c>
      <c r="I64" s="12" t="n"/>
      <c r="J64" s="14">
        <f>IF($C64="","",IF(AND($F64&lt;&gt;"",$F64&gt;=$B$3,$E64&lt;=$B$3),$C64,""))</f>
        <v/>
      </c>
      <c r="K64" s="14">
        <f>IF($C64="","",IF(AND($E64&lt;&gt;"",$E64&gt;$B$3,COUNTIFS($C$6:$C$65,$C64,$E$6:$E$65,"&gt;"&amp;$B$3,$E$6:$E$65,"&lt;"&amp;$E64)=0),$C64,""))</f>
        <v/>
      </c>
      <c r="L64" s="14">
        <f>IF($C64="","",IF(AND($F64&lt;&gt;"",$F64&lt;$B$3,COUNTIFS($C$6:$C$65,$C64,$F$6:$F$65,"&lt;"&amp;$B$3,$F$6:$F$65,"&gt;"&amp;$F64)=0),$C64,""))</f>
        <v/>
      </c>
    </row>
    <row r="65">
      <c r="A65" s="11" t="n">
        <v>60</v>
      </c>
      <c r="B65" s="12" t="n"/>
      <c r="C65" s="12" t="n"/>
      <c r="D65" s="12" t="n"/>
      <c r="E65" s="8" t="n"/>
      <c r="F65" s="8" t="n"/>
      <c r="G65" s="13">
        <f>IF($C65="","",IF(AND($E65&lt;&gt;"",$E65&gt;$B$3),"予定",IF($F65="","要確認（終了日未入力）",IF($F65&lt;$B$3,"完了","施工中"))))</f>
        <v/>
      </c>
      <c r="H65" s="13">
        <f>IF(OR($E65="",$F65=""),"",$F65-$E65+1)</f>
        <v/>
      </c>
      <c r="I65" s="12" t="n"/>
      <c r="J65" s="14">
        <f>IF($C65="","",IF(AND($F65&lt;&gt;"",$F65&gt;=$B$3,$E65&lt;=$B$3),$C65,""))</f>
        <v/>
      </c>
      <c r="K65" s="14">
        <f>IF($C65="","",IF(AND($E65&lt;&gt;"",$E65&gt;$B$3,COUNTIFS($C$6:$C$65,$C65,$E$6:$E$65,"&gt;"&amp;$B$3,$E$6:$E$65,"&lt;"&amp;$E65)=0),$C65,""))</f>
        <v/>
      </c>
      <c r="L65" s="14">
        <f>IF($C65="","",IF(AND($F65&lt;&gt;"",$F65&lt;$B$3,COUNTIFS($C$6:$C$65,$C65,$F$6:$F$65,"&lt;"&amp;$B$3,$F$6:$F$65,"&gt;"&amp;$F65)=0),$C65,""))</f>
        <v/>
      </c>
    </row>
  </sheetData>
  <conditionalFormatting sqref="G6:G65">
    <cfRule type="expression" priority="1" dxfId="0">
      <formula>ISNUMBER(SEARCH("要確認",$G6))</formula>
    </cfRule>
  </conditionalFormatting>
  <dataValidations count="1">
    <dataValidation sqref="D6:D65" showDropDown="0" showInputMessage="0" showErrorMessage="0" allowBlank="1" type="list">
      <formula1>"新築,増改築,リフォーム,木工事,内装,外構,メンテナンス"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  <col width="9" customWidth="1" min="9" max="9"/>
    <col width="11" customWidth="1" min="10" max="10"/>
    <col width="22" customWidth="1" min="11" max="11"/>
    <col width="11" customWidth="1" min="12" max="12"/>
    <col width="13" customWidth="1" min="13" max="13"/>
    <col width="12" customWidth="1" min="14" max="14"/>
    <col width="11" customWidth="1" min="15" max="15"/>
    <col width="34" customWidth="1" min="16" max="16"/>
  </cols>
  <sheetData>
    <row r="1">
      <c r="A1" s="1" t="inlineStr">
        <is>
          <t>② 職人ダッシュボード（案件台帳から自動計算）</t>
        </is>
      </c>
    </row>
    <row r="2">
      <c r="A2" s="7" t="inlineStr">
        <is>
          <t>青字＝手入力（職人名のみ）。それ以外はすべて自動。基準日：</t>
        </is>
      </c>
      <c r="E2" s="15">
        <f>'案件台帳'!$B$3</f>
        <v/>
      </c>
    </row>
    <row r="4" ht="30" customHeight="1">
      <c r="A4" s="16" t="inlineStr">
        <is>
          <t>職人</t>
        </is>
      </c>
      <c r="B4" s="16" t="inlineStr">
        <is>
          <t>状態</t>
        </is>
      </c>
      <c r="C4" s="16" t="inlineStr">
        <is>
          <t>現在の案件</t>
        </is>
      </c>
      <c r="D4" s="16" t="inlineStr">
        <is>
          <t>工程</t>
        </is>
      </c>
      <c r="E4" s="16" t="inlineStr">
        <is>
          <t>開始日</t>
        </is>
      </c>
      <c r="F4" s="16" t="inlineStr">
        <is>
          <t>終了予定日</t>
        </is>
      </c>
      <c r="G4" s="16" t="inlineStr">
        <is>
          <t>工期日数</t>
        </is>
      </c>
      <c r="H4" s="16" t="inlineStr">
        <is>
          <t>経過日数</t>
        </is>
      </c>
      <c r="I4" s="16" t="inlineStr">
        <is>
          <t>残り日数</t>
        </is>
      </c>
      <c r="J4" s="16" t="inlineStr">
        <is>
          <t>空き開始日</t>
        </is>
      </c>
      <c r="K4" s="16" t="inlineStr">
        <is>
          <t>次の案件</t>
        </is>
      </c>
      <c r="L4" s="16" t="inlineStr">
        <is>
          <t>次回開始日</t>
        </is>
      </c>
      <c r="M4" s="16" t="inlineStr">
        <is>
          <t>次の仕事までの
空き日数</t>
        </is>
      </c>
      <c r="N4" s="16" t="inlineStr">
        <is>
          <t>本日以降の
空き日数</t>
        </is>
      </c>
      <c r="O4" s="16" t="inlineStr">
        <is>
          <t>登録済み
総稼働日数</t>
        </is>
      </c>
      <c r="P4" s="16" t="inlineStr">
        <is>
          <t>アラート</t>
        </is>
      </c>
    </row>
    <row r="5">
      <c r="A5" s="17" t="inlineStr">
        <is>
          <t>多田</t>
        </is>
      </c>
      <c r="B5" s="18">
        <f>IF($A5="","",IF(COUNTIF('案件台帳'!$J$6:$J$65,$A5)&gt;0,"稼働中","空き中"))</f>
        <v/>
      </c>
      <c r="C5" s="19">
        <f>IF($A5="","",IFERROR(IF(INDEX('案件台帳'!$B$6:$B$65,MATCH($A5,'案件台帳'!$J$6:$J$65,0))="","",INDEX('案件台帳'!$B$6:$B$65,MATCH($A5,'案件台帳'!$J$6:$J$65,0))),"―（現在は空き）"))</f>
        <v/>
      </c>
      <c r="D5" s="18">
        <f>IF($A5="","",IFERROR(IF(INDEX('案件台帳'!$D$6:$D$65,MATCH($A5,'案件台帳'!$J$6:$J$65,0))="","",INDEX('案件台帳'!$D$6:$D$65,MATCH($A5,'案件台帳'!$J$6:$J$65,0))),""))</f>
        <v/>
      </c>
      <c r="E5" s="20">
        <f>IF($A5="","",IFERROR(IF(INDEX('案件台帳'!$E$6:$E$65,MATCH($A5,'案件台帳'!$J$6:$J$65,0))="","",INDEX('案件台帳'!$E$6:$E$65,MATCH($A5,'案件台帳'!$J$6:$J$65,0))),""))</f>
        <v/>
      </c>
      <c r="F5" s="20">
        <f>IF($A5="","",IFERROR(IF(INDEX('案件台帳'!$F$6:$F$65,MATCH($A5,'案件台帳'!$J$6:$J$65,0))="","",INDEX('案件台帳'!$F$6:$F$65,MATCH($A5,'案件台帳'!$J$6:$J$65,0))),""))</f>
        <v/>
      </c>
      <c r="G5" s="18">
        <f>IF(OR($E5="",$F5=""),"",$F5-$E5+1)</f>
        <v/>
      </c>
      <c r="H5" s="18">
        <f>IF($E5="","",'案件台帳'!$B$3-$E5+1)</f>
        <v/>
      </c>
      <c r="I5" s="18">
        <f>IF($F5="","",$F5-'案件台帳'!$B$3)</f>
        <v/>
      </c>
      <c r="J5" s="20">
        <f>IF($A5="","",IF($B5="稼働中",IF($F5="","",$F5+1),IFERROR(IF(INDEX('案件台帳'!$F$6:$F$65,MATCH($A5,'案件台帳'!$L$6:$L$65,0))="","",INDEX('案件台帳'!$F$6:$F$65,MATCH($A5,'案件台帳'!$L$6:$L$65,0))+1),'案件台帳'!$B$3)))</f>
        <v/>
      </c>
      <c r="K5" s="19">
        <f>IF($A5="","",IFERROR(IF(INDEX('案件台帳'!$B$6:$B$65,MATCH($A5,'案件台帳'!$K$6:$K$65,0))="","",INDEX('案件台帳'!$B$6:$B$65,MATCH($A5,'案件台帳'!$K$6:$K$65,0))),"未定"))</f>
        <v/>
      </c>
      <c r="L5" s="20">
        <f>IF($A5="","",IFERROR(IF(INDEX('案件台帳'!$E$6:$E$65,MATCH($A5,'案件台帳'!$K$6:$K$65,0))="","",INDEX('案件台帳'!$E$6:$E$65,MATCH($A5,'案件台帳'!$K$6:$K$65,0))),""))</f>
        <v/>
      </c>
      <c r="M5" s="21">
        <f>IF(OR($L5="",$J5=""),"",$L5-$J5)</f>
        <v/>
      </c>
      <c r="N5" s="21">
        <f>IF($L5="","",MAX(0,$L5-MAX('案件台帳'!$B$3,$J5)))</f>
        <v/>
      </c>
      <c r="O5" s="18">
        <f>IF($A5="","",SUMIF('案件台帳'!$C$6:$C$65,$A5,'案件台帳'!$H$6:$H$65))</f>
        <v/>
      </c>
      <c r="P5" s="19">
        <f>IF($A5="","",IF(TRIM(IF(COUNTIFS('案件台帳'!$C$6:$C$65,$A5,'案件台帳'!$E$6:$E$65,"&lt;="&amp;'案件台帳'!$B$3,'案件台帳'!$F$6:$F$65,"&gt;="&amp;'案件台帳'!$B$3)&gt;1,"⚠ 重複配置 ","")&amp;IF(COUNTIFS('案件台帳'!$C$6:$C$65,$A5)-COUNTIFS('案件台帳'!$C$6:$C$65,$A5,'案件台帳'!$F$6:$F$65,"&gt;0")&gt;0,"⚠ 終了予定日が未入力 ","")&amp;IF($K5="未定","⚠ 次の仕事が未定：営業・見積を前倒し",IF($M5="","",IF($M5&lt;0,"⚠ 前現場と"&amp;ABS($M5)&amp;"日重複",IF($M5=0,"連続稼働（余裕なし）",IF($M5&gt;=7,"⚠ 空き"&amp;$M5&amp;"日：短工期案件の差し込み検討","空き"&amp;$M5&amp;"日"))))))="","OK",TRIM(IF(COUNTIFS('案件台帳'!$C$6:$C$65,$A5,'案件台帳'!$E$6:$E$65,"&lt;="&amp;'案件台帳'!$B$3,'案件台帳'!$F$6:$F$65,"&gt;="&amp;'案件台帳'!$B$3)&gt;1,"⚠ 重複配置 ","")&amp;IF(COUNTIFS('案件台帳'!$C$6:$C$65,$A5)-COUNTIFS('案件台帳'!$C$6:$C$65,$A5,'案件台帳'!$F$6:$F$65,"&gt;0")&gt;0,"⚠ 終了予定日が未入力 ","")&amp;IF($K5="未定","⚠ 次の仕事が未定：営業・見積を前倒し",IF($M5="","",IF($M5&lt;0,"⚠ 前現場と"&amp;ABS($M5)&amp;"日重複",IF($M5=0,"連続稼働（余裕なし）",IF($M5&gt;=7,"⚠ 空き"&amp;$M5&amp;"日：短工期案件の差し込み検討","空き"&amp;$M5&amp;"日"))))))))</f>
        <v/>
      </c>
    </row>
    <row r="6">
      <c r="A6" s="17" t="inlineStr">
        <is>
          <t>松田</t>
        </is>
      </c>
      <c r="B6" s="18">
        <f>IF($A6="","",IF(COUNTIF('案件台帳'!$J$6:$J$65,$A6)&gt;0,"稼働中","空き中"))</f>
        <v/>
      </c>
      <c r="C6" s="19">
        <f>IF($A6="","",IFERROR(IF(INDEX('案件台帳'!$B$6:$B$65,MATCH($A6,'案件台帳'!$J$6:$J$65,0))="","",INDEX('案件台帳'!$B$6:$B$65,MATCH($A6,'案件台帳'!$J$6:$J$65,0))),"―（現在は空き）"))</f>
        <v/>
      </c>
      <c r="D6" s="18">
        <f>IF($A6="","",IFERROR(IF(INDEX('案件台帳'!$D$6:$D$65,MATCH($A6,'案件台帳'!$J$6:$J$65,0))="","",INDEX('案件台帳'!$D$6:$D$65,MATCH($A6,'案件台帳'!$J$6:$J$65,0))),""))</f>
        <v/>
      </c>
      <c r="E6" s="20">
        <f>IF($A6="","",IFERROR(IF(INDEX('案件台帳'!$E$6:$E$65,MATCH($A6,'案件台帳'!$J$6:$J$65,0))="","",INDEX('案件台帳'!$E$6:$E$65,MATCH($A6,'案件台帳'!$J$6:$J$65,0))),""))</f>
        <v/>
      </c>
      <c r="F6" s="20">
        <f>IF($A6="","",IFERROR(IF(INDEX('案件台帳'!$F$6:$F$65,MATCH($A6,'案件台帳'!$J$6:$J$65,0))="","",INDEX('案件台帳'!$F$6:$F$65,MATCH($A6,'案件台帳'!$J$6:$J$65,0))),""))</f>
        <v/>
      </c>
      <c r="G6" s="18">
        <f>IF(OR($E6="",$F6=""),"",$F6-$E6+1)</f>
        <v/>
      </c>
      <c r="H6" s="18">
        <f>IF($E6="","",'案件台帳'!$B$3-$E6+1)</f>
        <v/>
      </c>
      <c r="I6" s="18">
        <f>IF($F6="","",$F6-'案件台帳'!$B$3)</f>
        <v/>
      </c>
      <c r="J6" s="20">
        <f>IF($A6="","",IF($B6="稼働中",IF($F6="","",$F6+1),IFERROR(IF(INDEX('案件台帳'!$F$6:$F$65,MATCH($A6,'案件台帳'!$L$6:$L$65,0))="","",INDEX('案件台帳'!$F$6:$F$65,MATCH($A6,'案件台帳'!$L$6:$L$65,0))+1),'案件台帳'!$B$3)))</f>
        <v/>
      </c>
      <c r="K6" s="19">
        <f>IF($A6="","",IFERROR(IF(INDEX('案件台帳'!$B$6:$B$65,MATCH($A6,'案件台帳'!$K$6:$K$65,0))="","",INDEX('案件台帳'!$B$6:$B$65,MATCH($A6,'案件台帳'!$K$6:$K$65,0))),"未定"))</f>
        <v/>
      </c>
      <c r="L6" s="20">
        <f>IF($A6="","",IFERROR(IF(INDEX('案件台帳'!$E$6:$E$65,MATCH($A6,'案件台帳'!$K$6:$K$65,0))="","",INDEX('案件台帳'!$E$6:$E$65,MATCH($A6,'案件台帳'!$K$6:$K$65,0))),""))</f>
        <v/>
      </c>
      <c r="M6" s="21">
        <f>IF(OR($L6="",$J6=""),"",$L6-$J6)</f>
        <v/>
      </c>
      <c r="N6" s="21">
        <f>IF($L6="","",MAX(0,$L6-MAX('案件台帳'!$B$3,$J6)))</f>
        <v/>
      </c>
      <c r="O6" s="18">
        <f>IF($A6="","",SUMIF('案件台帳'!$C$6:$C$65,$A6,'案件台帳'!$H$6:$H$65))</f>
        <v/>
      </c>
      <c r="P6" s="19">
        <f>IF($A6="","",IF(TRIM(IF(COUNTIFS('案件台帳'!$C$6:$C$65,$A6,'案件台帳'!$E$6:$E$65,"&lt;="&amp;'案件台帳'!$B$3,'案件台帳'!$F$6:$F$65,"&gt;="&amp;'案件台帳'!$B$3)&gt;1,"⚠ 重複配置 ","")&amp;IF(COUNTIFS('案件台帳'!$C$6:$C$65,$A6)-COUNTIFS('案件台帳'!$C$6:$C$65,$A6,'案件台帳'!$F$6:$F$65,"&gt;0")&gt;0,"⚠ 終了予定日が未入力 ","")&amp;IF($K6="未定","⚠ 次の仕事が未定：営業・見積を前倒し",IF($M6="","",IF($M6&lt;0,"⚠ 前現場と"&amp;ABS($M6)&amp;"日重複",IF($M6=0,"連続稼働（余裕なし）",IF($M6&gt;=7,"⚠ 空き"&amp;$M6&amp;"日：短工期案件の差し込み検討","空き"&amp;$M6&amp;"日"))))))="","OK",TRIM(IF(COUNTIFS('案件台帳'!$C$6:$C$65,$A6,'案件台帳'!$E$6:$E$65,"&lt;="&amp;'案件台帳'!$B$3,'案件台帳'!$F$6:$F$65,"&gt;="&amp;'案件台帳'!$B$3)&gt;1,"⚠ 重複配置 ","")&amp;IF(COUNTIFS('案件台帳'!$C$6:$C$65,$A6)-COUNTIFS('案件台帳'!$C$6:$C$65,$A6,'案件台帳'!$F$6:$F$65,"&gt;0")&gt;0,"⚠ 終了予定日が未入力 ","")&amp;IF($K6="未定","⚠ 次の仕事が未定：営業・見積を前倒し",IF($M6="","",IF($M6&lt;0,"⚠ 前現場と"&amp;ABS($M6)&amp;"日重複",IF($M6=0,"連続稼働（余裕なし）",IF($M6&gt;=7,"⚠ 空き"&amp;$M6&amp;"日：短工期案件の差し込み検討","空き"&amp;$M6&amp;"日"))))))))</f>
        <v/>
      </c>
    </row>
    <row r="7">
      <c r="A7" s="17" t="inlineStr">
        <is>
          <t>重田</t>
        </is>
      </c>
      <c r="B7" s="18">
        <f>IF($A7="","",IF(COUNTIF('案件台帳'!$J$6:$J$65,$A7)&gt;0,"稼働中","空き中"))</f>
        <v/>
      </c>
      <c r="C7" s="19">
        <f>IF($A7="","",IFERROR(IF(INDEX('案件台帳'!$B$6:$B$65,MATCH($A7,'案件台帳'!$J$6:$J$65,0))="","",INDEX('案件台帳'!$B$6:$B$65,MATCH($A7,'案件台帳'!$J$6:$J$65,0))),"―（現在は空き）"))</f>
        <v/>
      </c>
      <c r="D7" s="18">
        <f>IF($A7="","",IFERROR(IF(INDEX('案件台帳'!$D$6:$D$65,MATCH($A7,'案件台帳'!$J$6:$J$65,0))="","",INDEX('案件台帳'!$D$6:$D$65,MATCH($A7,'案件台帳'!$J$6:$J$65,0))),""))</f>
        <v/>
      </c>
      <c r="E7" s="20">
        <f>IF($A7="","",IFERROR(IF(INDEX('案件台帳'!$E$6:$E$65,MATCH($A7,'案件台帳'!$J$6:$J$65,0))="","",INDEX('案件台帳'!$E$6:$E$65,MATCH($A7,'案件台帳'!$J$6:$J$65,0))),""))</f>
        <v/>
      </c>
      <c r="F7" s="20">
        <f>IF($A7="","",IFERROR(IF(INDEX('案件台帳'!$F$6:$F$65,MATCH($A7,'案件台帳'!$J$6:$J$65,0))="","",INDEX('案件台帳'!$F$6:$F$65,MATCH($A7,'案件台帳'!$J$6:$J$65,0))),""))</f>
        <v/>
      </c>
      <c r="G7" s="18">
        <f>IF(OR($E7="",$F7=""),"",$F7-$E7+1)</f>
        <v/>
      </c>
      <c r="H7" s="18">
        <f>IF($E7="","",'案件台帳'!$B$3-$E7+1)</f>
        <v/>
      </c>
      <c r="I7" s="18">
        <f>IF($F7="","",$F7-'案件台帳'!$B$3)</f>
        <v/>
      </c>
      <c r="J7" s="20">
        <f>IF($A7="","",IF($B7="稼働中",IF($F7="","",$F7+1),IFERROR(IF(INDEX('案件台帳'!$F$6:$F$65,MATCH($A7,'案件台帳'!$L$6:$L$65,0))="","",INDEX('案件台帳'!$F$6:$F$65,MATCH($A7,'案件台帳'!$L$6:$L$65,0))+1),'案件台帳'!$B$3)))</f>
        <v/>
      </c>
      <c r="K7" s="19">
        <f>IF($A7="","",IFERROR(IF(INDEX('案件台帳'!$B$6:$B$65,MATCH($A7,'案件台帳'!$K$6:$K$65,0))="","",INDEX('案件台帳'!$B$6:$B$65,MATCH($A7,'案件台帳'!$K$6:$K$65,0))),"未定"))</f>
        <v/>
      </c>
      <c r="L7" s="20">
        <f>IF($A7="","",IFERROR(IF(INDEX('案件台帳'!$E$6:$E$65,MATCH($A7,'案件台帳'!$K$6:$K$65,0))="","",INDEX('案件台帳'!$E$6:$E$65,MATCH($A7,'案件台帳'!$K$6:$K$65,0))),""))</f>
        <v/>
      </c>
      <c r="M7" s="21">
        <f>IF(OR($L7="",$J7=""),"",$L7-$J7)</f>
        <v/>
      </c>
      <c r="N7" s="21">
        <f>IF($L7="","",MAX(0,$L7-MAX('案件台帳'!$B$3,$J7)))</f>
        <v/>
      </c>
      <c r="O7" s="18">
        <f>IF($A7="","",SUMIF('案件台帳'!$C$6:$C$65,$A7,'案件台帳'!$H$6:$H$65))</f>
        <v/>
      </c>
      <c r="P7" s="19">
        <f>IF($A7="","",IF(TRIM(IF(COUNTIFS('案件台帳'!$C$6:$C$65,$A7,'案件台帳'!$E$6:$E$65,"&lt;="&amp;'案件台帳'!$B$3,'案件台帳'!$F$6:$F$65,"&gt;="&amp;'案件台帳'!$B$3)&gt;1,"⚠ 重複配置 ","")&amp;IF(COUNTIFS('案件台帳'!$C$6:$C$65,$A7)-COUNTIFS('案件台帳'!$C$6:$C$65,$A7,'案件台帳'!$F$6:$F$65,"&gt;0")&gt;0,"⚠ 終了予定日が未入力 ","")&amp;IF($K7="未定","⚠ 次の仕事が未定：営業・見積を前倒し",IF($M7="","",IF($M7&lt;0,"⚠ 前現場と"&amp;ABS($M7)&amp;"日重複",IF($M7=0,"連続稼働（余裕なし）",IF($M7&gt;=7,"⚠ 空き"&amp;$M7&amp;"日：短工期案件の差し込み検討","空き"&amp;$M7&amp;"日"))))))="","OK",TRIM(IF(COUNTIFS('案件台帳'!$C$6:$C$65,$A7,'案件台帳'!$E$6:$E$65,"&lt;="&amp;'案件台帳'!$B$3,'案件台帳'!$F$6:$F$65,"&gt;="&amp;'案件台帳'!$B$3)&gt;1,"⚠ 重複配置 ","")&amp;IF(COUNTIFS('案件台帳'!$C$6:$C$65,$A7)-COUNTIFS('案件台帳'!$C$6:$C$65,$A7,'案件台帳'!$F$6:$F$65,"&gt;0")&gt;0,"⚠ 終了予定日が未入力 ","")&amp;IF($K7="未定","⚠ 次の仕事が未定：営業・見積を前倒し",IF($M7="","",IF($M7&lt;0,"⚠ 前現場と"&amp;ABS($M7)&amp;"日重複",IF($M7=0,"連続稼働（余裕なし）",IF($M7&gt;=7,"⚠ 空き"&amp;$M7&amp;"日：短工期案件の差し込み検討","空き"&amp;$M7&amp;"日"))))))))</f>
        <v/>
      </c>
    </row>
    <row r="8">
      <c r="A8" s="17" t="inlineStr">
        <is>
          <t>原田</t>
        </is>
      </c>
      <c r="B8" s="18">
        <f>IF($A8="","",IF(COUNTIF('案件台帳'!$J$6:$J$65,$A8)&gt;0,"稼働中","空き中"))</f>
        <v/>
      </c>
      <c r="C8" s="19">
        <f>IF($A8="","",IFERROR(IF(INDEX('案件台帳'!$B$6:$B$65,MATCH($A8,'案件台帳'!$J$6:$J$65,0))="","",INDEX('案件台帳'!$B$6:$B$65,MATCH($A8,'案件台帳'!$J$6:$J$65,0))),"―（現在は空き）"))</f>
        <v/>
      </c>
      <c r="D8" s="18">
        <f>IF($A8="","",IFERROR(IF(INDEX('案件台帳'!$D$6:$D$65,MATCH($A8,'案件台帳'!$J$6:$J$65,0))="","",INDEX('案件台帳'!$D$6:$D$65,MATCH($A8,'案件台帳'!$J$6:$J$65,0))),""))</f>
        <v/>
      </c>
      <c r="E8" s="20">
        <f>IF($A8="","",IFERROR(IF(INDEX('案件台帳'!$E$6:$E$65,MATCH($A8,'案件台帳'!$J$6:$J$65,0))="","",INDEX('案件台帳'!$E$6:$E$65,MATCH($A8,'案件台帳'!$J$6:$J$65,0))),""))</f>
        <v/>
      </c>
      <c r="F8" s="20">
        <f>IF($A8="","",IFERROR(IF(INDEX('案件台帳'!$F$6:$F$65,MATCH($A8,'案件台帳'!$J$6:$J$65,0))="","",INDEX('案件台帳'!$F$6:$F$65,MATCH($A8,'案件台帳'!$J$6:$J$65,0))),""))</f>
        <v/>
      </c>
      <c r="G8" s="18">
        <f>IF(OR($E8="",$F8=""),"",$F8-$E8+1)</f>
        <v/>
      </c>
      <c r="H8" s="18">
        <f>IF($E8="","",'案件台帳'!$B$3-$E8+1)</f>
        <v/>
      </c>
      <c r="I8" s="18">
        <f>IF($F8="","",$F8-'案件台帳'!$B$3)</f>
        <v/>
      </c>
      <c r="J8" s="20">
        <f>IF($A8="","",IF($B8="稼働中",IF($F8="","",$F8+1),IFERROR(IF(INDEX('案件台帳'!$F$6:$F$65,MATCH($A8,'案件台帳'!$L$6:$L$65,0))="","",INDEX('案件台帳'!$F$6:$F$65,MATCH($A8,'案件台帳'!$L$6:$L$65,0))+1),'案件台帳'!$B$3)))</f>
        <v/>
      </c>
      <c r="K8" s="19">
        <f>IF($A8="","",IFERROR(IF(INDEX('案件台帳'!$B$6:$B$65,MATCH($A8,'案件台帳'!$K$6:$K$65,0))="","",INDEX('案件台帳'!$B$6:$B$65,MATCH($A8,'案件台帳'!$K$6:$K$65,0))),"未定"))</f>
        <v/>
      </c>
      <c r="L8" s="20">
        <f>IF($A8="","",IFERROR(IF(INDEX('案件台帳'!$E$6:$E$65,MATCH($A8,'案件台帳'!$K$6:$K$65,0))="","",INDEX('案件台帳'!$E$6:$E$65,MATCH($A8,'案件台帳'!$K$6:$K$65,0))),""))</f>
        <v/>
      </c>
      <c r="M8" s="21">
        <f>IF(OR($L8="",$J8=""),"",$L8-$J8)</f>
        <v/>
      </c>
      <c r="N8" s="21">
        <f>IF($L8="","",MAX(0,$L8-MAX('案件台帳'!$B$3,$J8)))</f>
        <v/>
      </c>
      <c r="O8" s="18">
        <f>IF($A8="","",SUMIF('案件台帳'!$C$6:$C$65,$A8,'案件台帳'!$H$6:$H$65))</f>
        <v/>
      </c>
      <c r="P8" s="19">
        <f>IF($A8="","",IF(TRIM(IF(COUNTIFS('案件台帳'!$C$6:$C$65,$A8,'案件台帳'!$E$6:$E$65,"&lt;="&amp;'案件台帳'!$B$3,'案件台帳'!$F$6:$F$65,"&gt;="&amp;'案件台帳'!$B$3)&gt;1,"⚠ 重複配置 ","")&amp;IF(COUNTIFS('案件台帳'!$C$6:$C$65,$A8)-COUNTIFS('案件台帳'!$C$6:$C$65,$A8,'案件台帳'!$F$6:$F$65,"&gt;0")&gt;0,"⚠ 終了予定日が未入力 ","")&amp;IF($K8="未定","⚠ 次の仕事が未定：営業・見積を前倒し",IF($M8="","",IF($M8&lt;0,"⚠ 前現場と"&amp;ABS($M8)&amp;"日重複",IF($M8=0,"連続稼働（余裕なし）",IF($M8&gt;=7,"⚠ 空き"&amp;$M8&amp;"日：短工期案件の差し込み検討","空き"&amp;$M8&amp;"日"))))))="","OK",TRIM(IF(COUNTIFS('案件台帳'!$C$6:$C$65,$A8,'案件台帳'!$E$6:$E$65,"&lt;="&amp;'案件台帳'!$B$3,'案件台帳'!$F$6:$F$65,"&gt;="&amp;'案件台帳'!$B$3)&gt;1,"⚠ 重複配置 ","")&amp;IF(COUNTIFS('案件台帳'!$C$6:$C$65,$A8)-COUNTIFS('案件台帳'!$C$6:$C$65,$A8,'案件台帳'!$F$6:$F$65,"&gt;0")&gt;0,"⚠ 終了予定日が未入力 ","")&amp;IF($K8="未定","⚠ 次の仕事が未定：営業・見積を前倒し",IF($M8="","",IF($M8&lt;0,"⚠ 前現場と"&amp;ABS($M8)&amp;"日重複",IF($M8=0,"連続稼働（余裕なし）",IF($M8&gt;=7,"⚠ 空き"&amp;$M8&amp;"日：短工期案件の差し込み検討","空き"&amp;$M8&amp;"日"))))))))</f>
        <v/>
      </c>
    </row>
    <row r="9">
      <c r="A9" s="17" t="inlineStr">
        <is>
          <t>田中</t>
        </is>
      </c>
      <c r="B9" s="18">
        <f>IF($A9="","",IF(COUNTIF('案件台帳'!$J$6:$J$65,$A9)&gt;0,"稼働中","空き中"))</f>
        <v/>
      </c>
      <c r="C9" s="19">
        <f>IF($A9="","",IFERROR(IF(INDEX('案件台帳'!$B$6:$B$65,MATCH($A9,'案件台帳'!$J$6:$J$65,0))="","",INDEX('案件台帳'!$B$6:$B$65,MATCH($A9,'案件台帳'!$J$6:$J$65,0))),"―（現在は空き）"))</f>
        <v/>
      </c>
      <c r="D9" s="18">
        <f>IF($A9="","",IFERROR(IF(INDEX('案件台帳'!$D$6:$D$65,MATCH($A9,'案件台帳'!$J$6:$J$65,0))="","",INDEX('案件台帳'!$D$6:$D$65,MATCH($A9,'案件台帳'!$J$6:$J$65,0))),""))</f>
        <v/>
      </c>
      <c r="E9" s="20">
        <f>IF($A9="","",IFERROR(IF(INDEX('案件台帳'!$E$6:$E$65,MATCH($A9,'案件台帳'!$J$6:$J$65,0))="","",INDEX('案件台帳'!$E$6:$E$65,MATCH($A9,'案件台帳'!$J$6:$J$65,0))),""))</f>
        <v/>
      </c>
      <c r="F9" s="20">
        <f>IF($A9="","",IFERROR(IF(INDEX('案件台帳'!$F$6:$F$65,MATCH($A9,'案件台帳'!$J$6:$J$65,0))="","",INDEX('案件台帳'!$F$6:$F$65,MATCH($A9,'案件台帳'!$J$6:$J$65,0))),""))</f>
        <v/>
      </c>
      <c r="G9" s="18">
        <f>IF(OR($E9="",$F9=""),"",$F9-$E9+1)</f>
        <v/>
      </c>
      <c r="H9" s="18">
        <f>IF($E9="","",'案件台帳'!$B$3-$E9+1)</f>
        <v/>
      </c>
      <c r="I9" s="18">
        <f>IF($F9="","",$F9-'案件台帳'!$B$3)</f>
        <v/>
      </c>
      <c r="J9" s="20">
        <f>IF($A9="","",IF($B9="稼働中",IF($F9="","",$F9+1),IFERROR(IF(INDEX('案件台帳'!$F$6:$F$65,MATCH($A9,'案件台帳'!$L$6:$L$65,0))="","",INDEX('案件台帳'!$F$6:$F$65,MATCH($A9,'案件台帳'!$L$6:$L$65,0))+1),'案件台帳'!$B$3)))</f>
        <v/>
      </c>
      <c r="K9" s="19">
        <f>IF($A9="","",IFERROR(IF(INDEX('案件台帳'!$B$6:$B$65,MATCH($A9,'案件台帳'!$K$6:$K$65,0))="","",INDEX('案件台帳'!$B$6:$B$65,MATCH($A9,'案件台帳'!$K$6:$K$65,0))),"未定"))</f>
        <v/>
      </c>
      <c r="L9" s="20">
        <f>IF($A9="","",IFERROR(IF(INDEX('案件台帳'!$E$6:$E$65,MATCH($A9,'案件台帳'!$K$6:$K$65,0))="","",INDEX('案件台帳'!$E$6:$E$65,MATCH($A9,'案件台帳'!$K$6:$K$65,0))),""))</f>
        <v/>
      </c>
      <c r="M9" s="21">
        <f>IF(OR($L9="",$J9=""),"",$L9-$J9)</f>
        <v/>
      </c>
      <c r="N9" s="21">
        <f>IF($L9="","",MAX(0,$L9-MAX('案件台帳'!$B$3,$J9)))</f>
        <v/>
      </c>
      <c r="O9" s="18">
        <f>IF($A9="","",SUMIF('案件台帳'!$C$6:$C$65,$A9,'案件台帳'!$H$6:$H$65))</f>
        <v/>
      </c>
      <c r="P9" s="19">
        <f>IF($A9="","",IF(TRIM(IF(COUNTIFS('案件台帳'!$C$6:$C$65,$A9,'案件台帳'!$E$6:$E$65,"&lt;="&amp;'案件台帳'!$B$3,'案件台帳'!$F$6:$F$65,"&gt;="&amp;'案件台帳'!$B$3)&gt;1,"⚠ 重複配置 ","")&amp;IF(COUNTIFS('案件台帳'!$C$6:$C$65,$A9)-COUNTIFS('案件台帳'!$C$6:$C$65,$A9,'案件台帳'!$F$6:$F$65,"&gt;0")&gt;0,"⚠ 終了予定日が未入力 ","")&amp;IF($K9="未定","⚠ 次の仕事が未定：営業・見積を前倒し",IF($M9="","",IF($M9&lt;0,"⚠ 前現場と"&amp;ABS($M9)&amp;"日重複",IF($M9=0,"連続稼働（余裕なし）",IF($M9&gt;=7,"⚠ 空き"&amp;$M9&amp;"日：短工期案件の差し込み検討","空き"&amp;$M9&amp;"日"))))))="","OK",TRIM(IF(COUNTIFS('案件台帳'!$C$6:$C$65,$A9,'案件台帳'!$E$6:$E$65,"&lt;="&amp;'案件台帳'!$B$3,'案件台帳'!$F$6:$F$65,"&gt;="&amp;'案件台帳'!$B$3)&gt;1,"⚠ 重複配置 ","")&amp;IF(COUNTIFS('案件台帳'!$C$6:$C$65,$A9)-COUNTIFS('案件台帳'!$C$6:$C$65,$A9,'案件台帳'!$F$6:$F$65,"&gt;0")&gt;0,"⚠ 終了予定日が未入力 ","")&amp;IF($K9="未定","⚠ 次の仕事が未定：営業・見積を前倒し",IF($M9="","",IF($M9&lt;0,"⚠ 前現場と"&amp;ABS($M9)&amp;"日重複",IF($M9=0,"連続稼働（余裕なし）",IF($M9&gt;=7,"⚠ 空き"&amp;$M9&amp;"日：短工期案件の差し込み検討","空き"&amp;$M9&amp;"日"))))))))</f>
        <v/>
      </c>
    </row>
    <row r="10">
      <c r="A10" s="17" t="n"/>
      <c r="B10" s="18">
        <f>IF($A10="","",IF(COUNTIF('案件台帳'!$J$6:$J$65,$A10)&gt;0,"稼働中","空き中"))</f>
        <v/>
      </c>
      <c r="C10" s="19">
        <f>IF($A10="","",IFERROR(IF(INDEX('案件台帳'!$B$6:$B$65,MATCH($A10,'案件台帳'!$J$6:$J$65,0))="","",INDEX('案件台帳'!$B$6:$B$65,MATCH($A10,'案件台帳'!$J$6:$J$65,0))),"―（現在は空き）"))</f>
        <v/>
      </c>
      <c r="D10" s="18">
        <f>IF($A10="","",IFERROR(IF(INDEX('案件台帳'!$D$6:$D$65,MATCH($A10,'案件台帳'!$J$6:$J$65,0))="","",INDEX('案件台帳'!$D$6:$D$65,MATCH($A10,'案件台帳'!$J$6:$J$65,0))),""))</f>
        <v/>
      </c>
      <c r="E10" s="20">
        <f>IF($A10="","",IFERROR(IF(INDEX('案件台帳'!$E$6:$E$65,MATCH($A10,'案件台帳'!$J$6:$J$65,0))="","",INDEX('案件台帳'!$E$6:$E$65,MATCH($A10,'案件台帳'!$J$6:$J$65,0))),""))</f>
        <v/>
      </c>
      <c r="F10" s="20">
        <f>IF($A10="","",IFERROR(IF(INDEX('案件台帳'!$F$6:$F$65,MATCH($A10,'案件台帳'!$J$6:$J$65,0))="","",INDEX('案件台帳'!$F$6:$F$65,MATCH($A10,'案件台帳'!$J$6:$J$65,0))),""))</f>
        <v/>
      </c>
      <c r="G10" s="18">
        <f>IF(OR($E10="",$F10=""),"",$F10-$E10+1)</f>
        <v/>
      </c>
      <c r="H10" s="18">
        <f>IF($E10="","",'案件台帳'!$B$3-$E10+1)</f>
        <v/>
      </c>
      <c r="I10" s="18">
        <f>IF($F10="","",$F10-'案件台帳'!$B$3)</f>
        <v/>
      </c>
      <c r="J10" s="20">
        <f>IF($A10="","",IF($B10="稼働中",IF($F10="","",$F10+1),IFERROR(IF(INDEX('案件台帳'!$F$6:$F$65,MATCH($A10,'案件台帳'!$L$6:$L$65,0))="","",INDEX('案件台帳'!$F$6:$F$65,MATCH($A10,'案件台帳'!$L$6:$L$65,0))+1),'案件台帳'!$B$3)))</f>
        <v/>
      </c>
      <c r="K10" s="19">
        <f>IF($A10="","",IFERROR(IF(INDEX('案件台帳'!$B$6:$B$65,MATCH($A10,'案件台帳'!$K$6:$K$65,0))="","",INDEX('案件台帳'!$B$6:$B$65,MATCH($A10,'案件台帳'!$K$6:$K$65,0))),"未定"))</f>
        <v/>
      </c>
      <c r="L10" s="20">
        <f>IF($A10="","",IFERROR(IF(INDEX('案件台帳'!$E$6:$E$65,MATCH($A10,'案件台帳'!$K$6:$K$65,0))="","",INDEX('案件台帳'!$E$6:$E$65,MATCH($A10,'案件台帳'!$K$6:$K$65,0))),""))</f>
        <v/>
      </c>
      <c r="M10" s="21">
        <f>IF(OR($L10="",$J10=""),"",$L10-$J10)</f>
        <v/>
      </c>
      <c r="N10" s="21">
        <f>IF($L10="","",MAX(0,$L10-MAX('案件台帳'!$B$3,$J10)))</f>
        <v/>
      </c>
      <c r="O10" s="18">
        <f>IF($A10="","",SUMIF('案件台帳'!$C$6:$C$65,$A10,'案件台帳'!$H$6:$H$65))</f>
        <v/>
      </c>
      <c r="P10" s="19">
        <f>IF($A10="","",IF(TRIM(IF(COUNTIFS('案件台帳'!$C$6:$C$65,$A10,'案件台帳'!$E$6:$E$65,"&lt;="&amp;'案件台帳'!$B$3,'案件台帳'!$F$6:$F$65,"&gt;="&amp;'案件台帳'!$B$3)&gt;1,"⚠ 重複配置 ","")&amp;IF(COUNTIFS('案件台帳'!$C$6:$C$65,$A10)-COUNTIFS('案件台帳'!$C$6:$C$65,$A10,'案件台帳'!$F$6:$F$65,"&gt;0")&gt;0,"⚠ 終了予定日が未入力 ","")&amp;IF($K10="未定","⚠ 次の仕事が未定：営業・見積を前倒し",IF($M10="","",IF($M10&lt;0,"⚠ 前現場と"&amp;ABS($M10)&amp;"日重複",IF($M10=0,"連続稼働（余裕なし）",IF($M10&gt;=7,"⚠ 空き"&amp;$M10&amp;"日：短工期案件の差し込み検討","空き"&amp;$M10&amp;"日"))))))="","OK",TRIM(IF(COUNTIFS('案件台帳'!$C$6:$C$65,$A10,'案件台帳'!$E$6:$E$65,"&lt;="&amp;'案件台帳'!$B$3,'案件台帳'!$F$6:$F$65,"&gt;="&amp;'案件台帳'!$B$3)&gt;1,"⚠ 重複配置 ","")&amp;IF(COUNTIFS('案件台帳'!$C$6:$C$65,$A10)-COUNTIFS('案件台帳'!$C$6:$C$65,$A10,'案件台帳'!$F$6:$F$65,"&gt;0")&gt;0,"⚠ 終了予定日が未入力 ","")&amp;IF($K10="未定","⚠ 次の仕事が未定：営業・見積を前倒し",IF($M10="","",IF($M10&lt;0,"⚠ 前現場と"&amp;ABS($M10)&amp;"日重複",IF($M10=0,"連続稼働（余裕なし）",IF($M10&gt;=7,"⚠ 空き"&amp;$M10&amp;"日：短工期案件の差し込み検討","空き"&amp;$M10&amp;"日"))))))))</f>
        <v/>
      </c>
    </row>
    <row r="11">
      <c r="A11" s="17" t="n"/>
      <c r="B11" s="18">
        <f>IF($A11="","",IF(COUNTIF('案件台帳'!$J$6:$J$65,$A11)&gt;0,"稼働中","空き中"))</f>
        <v/>
      </c>
      <c r="C11" s="19">
        <f>IF($A11="","",IFERROR(IF(INDEX('案件台帳'!$B$6:$B$65,MATCH($A11,'案件台帳'!$J$6:$J$65,0))="","",INDEX('案件台帳'!$B$6:$B$65,MATCH($A11,'案件台帳'!$J$6:$J$65,0))),"―（現在は空き）"))</f>
        <v/>
      </c>
      <c r="D11" s="18">
        <f>IF($A11="","",IFERROR(IF(INDEX('案件台帳'!$D$6:$D$65,MATCH($A11,'案件台帳'!$J$6:$J$65,0))="","",INDEX('案件台帳'!$D$6:$D$65,MATCH($A11,'案件台帳'!$J$6:$J$65,0))),""))</f>
        <v/>
      </c>
      <c r="E11" s="20">
        <f>IF($A11="","",IFERROR(IF(INDEX('案件台帳'!$E$6:$E$65,MATCH($A11,'案件台帳'!$J$6:$J$65,0))="","",INDEX('案件台帳'!$E$6:$E$65,MATCH($A11,'案件台帳'!$J$6:$J$65,0))),""))</f>
        <v/>
      </c>
      <c r="F11" s="20">
        <f>IF($A11="","",IFERROR(IF(INDEX('案件台帳'!$F$6:$F$65,MATCH($A11,'案件台帳'!$J$6:$J$65,0))="","",INDEX('案件台帳'!$F$6:$F$65,MATCH($A11,'案件台帳'!$J$6:$J$65,0))),""))</f>
        <v/>
      </c>
      <c r="G11" s="18">
        <f>IF(OR($E11="",$F11=""),"",$F11-$E11+1)</f>
        <v/>
      </c>
      <c r="H11" s="18">
        <f>IF($E11="","",'案件台帳'!$B$3-$E11+1)</f>
        <v/>
      </c>
      <c r="I11" s="18">
        <f>IF($F11="","",$F11-'案件台帳'!$B$3)</f>
        <v/>
      </c>
      <c r="J11" s="20">
        <f>IF($A11="","",IF($B11="稼働中",IF($F11="","",$F11+1),IFERROR(IF(INDEX('案件台帳'!$F$6:$F$65,MATCH($A11,'案件台帳'!$L$6:$L$65,0))="","",INDEX('案件台帳'!$F$6:$F$65,MATCH($A11,'案件台帳'!$L$6:$L$65,0))+1),'案件台帳'!$B$3)))</f>
        <v/>
      </c>
      <c r="K11" s="19">
        <f>IF($A11="","",IFERROR(IF(INDEX('案件台帳'!$B$6:$B$65,MATCH($A11,'案件台帳'!$K$6:$K$65,0))="","",INDEX('案件台帳'!$B$6:$B$65,MATCH($A11,'案件台帳'!$K$6:$K$65,0))),"未定"))</f>
        <v/>
      </c>
      <c r="L11" s="20">
        <f>IF($A11="","",IFERROR(IF(INDEX('案件台帳'!$E$6:$E$65,MATCH($A11,'案件台帳'!$K$6:$K$65,0))="","",INDEX('案件台帳'!$E$6:$E$65,MATCH($A11,'案件台帳'!$K$6:$K$65,0))),""))</f>
        <v/>
      </c>
      <c r="M11" s="21">
        <f>IF(OR($L11="",$J11=""),"",$L11-$J11)</f>
        <v/>
      </c>
      <c r="N11" s="21">
        <f>IF($L11="","",MAX(0,$L11-MAX('案件台帳'!$B$3,$J11)))</f>
        <v/>
      </c>
      <c r="O11" s="18">
        <f>IF($A11="","",SUMIF('案件台帳'!$C$6:$C$65,$A11,'案件台帳'!$H$6:$H$65))</f>
        <v/>
      </c>
      <c r="P11" s="19">
        <f>IF($A11="","",IF(TRIM(IF(COUNTIFS('案件台帳'!$C$6:$C$65,$A11,'案件台帳'!$E$6:$E$65,"&lt;="&amp;'案件台帳'!$B$3,'案件台帳'!$F$6:$F$65,"&gt;="&amp;'案件台帳'!$B$3)&gt;1,"⚠ 重複配置 ","")&amp;IF(COUNTIFS('案件台帳'!$C$6:$C$65,$A11)-COUNTIFS('案件台帳'!$C$6:$C$65,$A11,'案件台帳'!$F$6:$F$65,"&gt;0")&gt;0,"⚠ 終了予定日が未入力 ","")&amp;IF($K11="未定","⚠ 次の仕事が未定：営業・見積を前倒し",IF($M11="","",IF($M11&lt;0,"⚠ 前現場と"&amp;ABS($M11)&amp;"日重複",IF($M11=0,"連続稼働（余裕なし）",IF($M11&gt;=7,"⚠ 空き"&amp;$M11&amp;"日：短工期案件の差し込み検討","空き"&amp;$M11&amp;"日"))))))="","OK",TRIM(IF(COUNTIFS('案件台帳'!$C$6:$C$65,$A11,'案件台帳'!$E$6:$E$65,"&lt;="&amp;'案件台帳'!$B$3,'案件台帳'!$F$6:$F$65,"&gt;="&amp;'案件台帳'!$B$3)&gt;1,"⚠ 重複配置 ","")&amp;IF(COUNTIFS('案件台帳'!$C$6:$C$65,$A11)-COUNTIFS('案件台帳'!$C$6:$C$65,$A11,'案件台帳'!$F$6:$F$65,"&gt;0")&gt;0,"⚠ 終了予定日が未入力 ","")&amp;IF($K11="未定","⚠ 次の仕事が未定：営業・見積を前倒し",IF($M11="","",IF($M11&lt;0,"⚠ 前現場と"&amp;ABS($M11)&amp;"日重複",IF($M11=0,"連続稼働（余裕なし）",IF($M11&gt;=7,"⚠ 空き"&amp;$M11&amp;"日：短工期案件の差し込み検討","空き"&amp;$M11&amp;"日"))))))))</f>
        <v/>
      </c>
    </row>
    <row r="12">
      <c r="A12" s="17" t="n"/>
      <c r="B12" s="18">
        <f>IF($A12="","",IF(COUNTIF('案件台帳'!$J$6:$J$65,$A12)&gt;0,"稼働中","空き中"))</f>
        <v/>
      </c>
      <c r="C12" s="19">
        <f>IF($A12="","",IFERROR(IF(INDEX('案件台帳'!$B$6:$B$65,MATCH($A12,'案件台帳'!$J$6:$J$65,0))="","",INDEX('案件台帳'!$B$6:$B$65,MATCH($A12,'案件台帳'!$J$6:$J$65,0))),"―（現在は空き）"))</f>
        <v/>
      </c>
      <c r="D12" s="18">
        <f>IF($A12="","",IFERROR(IF(INDEX('案件台帳'!$D$6:$D$65,MATCH($A12,'案件台帳'!$J$6:$J$65,0))="","",INDEX('案件台帳'!$D$6:$D$65,MATCH($A12,'案件台帳'!$J$6:$J$65,0))),""))</f>
        <v/>
      </c>
      <c r="E12" s="20">
        <f>IF($A12="","",IFERROR(IF(INDEX('案件台帳'!$E$6:$E$65,MATCH($A12,'案件台帳'!$J$6:$J$65,0))="","",INDEX('案件台帳'!$E$6:$E$65,MATCH($A12,'案件台帳'!$J$6:$J$65,0))),""))</f>
        <v/>
      </c>
      <c r="F12" s="20">
        <f>IF($A12="","",IFERROR(IF(INDEX('案件台帳'!$F$6:$F$65,MATCH($A12,'案件台帳'!$J$6:$J$65,0))="","",INDEX('案件台帳'!$F$6:$F$65,MATCH($A12,'案件台帳'!$J$6:$J$65,0))),""))</f>
        <v/>
      </c>
      <c r="G12" s="18">
        <f>IF(OR($E12="",$F12=""),"",$F12-$E12+1)</f>
        <v/>
      </c>
      <c r="H12" s="18">
        <f>IF($E12="","",'案件台帳'!$B$3-$E12+1)</f>
        <v/>
      </c>
      <c r="I12" s="18">
        <f>IF($F12="","",$F12-'案件台帳'!$B$3)</f>
        <v/>
      </c>
      <c r="J12" s="20">
        <f>IF($A12="","",IF($B12="稼働中",IF($F12="","",$F12+1),IFERROR(IF(INDEX('案件台帳'!$F$6:$F$65,MATCH($A12,'案件台帳'!$L$6:$L$65,0))="","",INDEX('案件台帳'!$F$6:$F$65,MATCH($A12,'案件台帳'!$L$6:$L$65,0))+1),'案件台帳'!$B$3)))</f>
        <v/>
      </c>
      <c r="K12" s="19">
        <f>IF($A12="","",IFERROR(IF(INDEX('案件台帳'!$B$6:$B$65,MATCH($A12,'案件台帳'!$K$6:$K$65,0))="","",INDEX('案件台帳'!$B$6:$B$65,MATCH($A12,'案件台帳'!$K$6:$K$65,0))),"未定"))</f>
        <v/>
      </c>
      <c r="L12" s="20">
        <f>IF($A12="","",IFERROR(IF(INDEX('案件台帳'!$E$6:$E$65,MATCH($A12,'案件台帳'!$K$6:$K$65,0))="","",INDEX('案件台帳'!$E$6:$E$65,MATCH($A12,'案件台帳'!$K$6:$K$65,0))),""))</f>
        <v/>
      </c>
      <c r="M12" s="21">
        <f>IF(OR($L12="",$J12=""),"",$L12-$J12)</f>
        <v/>
      </c>
      <c r="N12" s="21">
        <f>IF($L12="","",MAX(0,$L12-MAX('案件台帳'!$B$3,$J12)))</f>
        <v/>
      </c>
      <c r="O12" s="18">
        <f>IF($A12="","",SUMIF('案件台帳'!$C$6:$C$65,$A12,'案件台帳'!$H$6:$H$65))</f>
        <v/>
      </c>
      <c r="P12" s="19">
        <f>IF($A12="","",IF(TRIM(IF(COUNTIFS('案件台帳'!$C$6:$C$65,$A12,'案件台帳'!$E$6:$E$65,"&lt;="&amp;'案件台帳'!$B$3,'案件台帳'!$F$6:$F$65,"&gt;="&amp;'案件台帳'!$B$3)&gt;1,"⚠ 重複配置 ","")&amp;IF(COUNTIFS('案件台帳'!$C$6:$C$65,$A12)-COUNTIFS('案件台帳'!$C$6:$C$65,$A12,'案件台帳'!$F$6:$F$65,"&gt;0")&gt;0,"⚠ 終了予定日が未入力 ","")&amp;IF($K12="未定","⚠ 次の仕事が未定：営業・見積を前倒し",IF($M12="","",IF($M12&lt;0,"⚠ 前現場と"&amp;ABS($M12)&amp;"日重複",IF($M12=0,"連続稼働（余裕なし）",IF($M12&gt;=7,"⚠ 空き"&amp;$M12&amp;"日：短工期案件の差し込み検討","空き"&amp;$M12&amp;"日"))))))="","OK",TRIM(IF(COUNTIFS('案件台帳'!$C$6:$C$65,$A12,'案件台帳'!$E$6:$E$65,"&lt;="&amp;'案件台帳'!$B$3,'案件台帳'!$F$6:$F$65,"&gt;="&amp;'案件台帳'!$B$3)&gt;1,"⚠ 重複配置 ","")&amp;IF(COUNTIFS('案件台帳'!$C$6:$C$65,$A12)-COUNTIFS('案件台帳'!$C$6:$C$65,$A12,'案件台帳'!$F$6:$F$65,"&gt;0")&gt;0,"⚠ 終了予定日が未入力 ","")&amp;IF($K12="未定","⚠ 次の仕事が未定：営業・見積を前倒し",IF($M12="","",IF($M12&lt;0,"⚠ 前現場と"&amp;ABS($M12)&amp;"日重複",IF($M12=0,"連続稼働（余裕なし）",IF($M12&gt;=7,"⚠ 空き"&amp;$M12&amp;"日：短工期案件の差し込み検討","空き"&amp;$M12&amp;"日"))))))))</f>
        <v/>
      </c>
    </row>
    <row r="13">
      <c r="A13" s="17" t="n"/>
      <c r="B13" s="18">
        <f>IF($A13="","",IF(COUNTIF('案件台帳'!$J$6:$J$65,$A13)&gt;0,"稼働中","空き中"))</f>
        <v/>
      </c>
      <c r="C13" s="19">
        <f>IF($A13="","",IFERROR(IF(INDEX('案件台帳'!$B$6:$B$65,MATCH($A13,'案件台帳'!$J$6:$J$65,0))="","",INDEX('案件台帳'!$B$6:$B$65,MATCH($A13,'案件台帳'!$J$6:$J$65,0))),"―（現在は空き）"))</f>
        <v/>
      </c>
      <c r="D13" s="18">
        <f>IF($A13="","",IFERROR(IF(INDEX('案件台帳'!$D$6:$D$65,MATCH($A13,'案件台帳'!$J$6:$J$65,0))="","",INDEX('案件台帳'!$D$6:$D$65,MATCH($A13,'案件台帳'!$J$6:$J$65,0))),""))</f>
        <v/>
      </c>
      <c r="E13" s="20">
        <f>IF($A13="","",IFERROR(IF(INDEX('案件台帳'!$E$6:$E$65,MATCH($A13,'案件台帳'!$J$6:$J$65,0))="","",INDEX('案件台帳'!$E$6:$E$65,MATCH($A13,'案件台帳'!$J$6:$J$65,0))),""))</f>
        <v/>
      </c>
      <c r="F13" s="20">
        <f>IF($A13="","",IFERROR(IF(INDEX('案件台帳'!$F$6:$F$65,MATCH($A13,'案件台帳'!$J$6:$J$65,0))="","",INDEX('案件台帳'!$F$6:$F$65,MATCH($A13,'案件台帳'!$J$6:$J$65,0))),""))</f>
        <v/>
      </c>
      <c r="G13" s="18">
        <f>IF(OR($E13="",$F13=""),"",$F13-$E13+1)</f>
        <v/>
      </c>
      <c r="H13" s="18">
        <f>IF($E13="","",'案件台帳'!$B$3-$E13+1)</f>
        <v/>
      </c>
      <c r="I13" s="18">
        <f>IF($F13="","",$F13-'案件台帳'!$B$3)</f>
        <v/>
      </c>
      <c r="J13" s="20">
        <f>IF($A13="","",IF($B13="稼働中",IF($F13="","",$F13+1),IFERROR(IF(INDEX('案件台帳'!$F$6:$F$65,MATCH($A13,'案件台帳'!$L$6:$L$65,0))="","",INDEX('案件台帳'!$F$6:$F$65,MATCH($A13,'案件台帳'!$L$6:$L$65,0))+1),'案件台帳'!$B$3)))</f>
        <v/>
      </c>
      <c r="K13" s="19">
        <f>IF($A13="","",IFERROR(IF(INDEX('案件台帳'!$B$6:$B$65,MATCH($A13,'案件台帳'!$K$6:$K$65,0))="","",INDEX('案件台帳'!$B$6:$B$65,MATCH($A13,'案件台帳'!$K$6:$K$65,0))),"未定"))</f>
        <v/>
      </c>
      <c r="L13" s="20">
        <f>IF($A13="","",IFERROR(IF(INDEX('案件台帳'!$E$6:$E$65,MATCH($A13,'案件台帳'!$K$6:$K$65,0))="","",INDEX('案件台帳'!$E$6:$E$65,MATCH($A13,'案件台帳'!$K$6:$K$65,0))),""))</f>
        <v/>
      </c>
      <c r="M13" s="21">
        <f>IF(OR($L13="",$J13=""),"",$L13-$J13)</f>
        <v/>
      </c>
      <c r="N13" s="21">
        <f>IF($L13="","",MAX(0,$L13-MAX('案件台帳'!$B$3,$J13)))</f>
        <v/>
      </c>
      <c r="O13" s="18">
        <f>IF($A13="","",SUMIF('案件台帳'!$C$6:$C$65,$A13,'案件台帳'!$H$6:$H$65))</f>
        <v/>
      </c>
      <c r="P13" s="19">
        <f>IF($A13="","",IF(TRIM(IF(COUNTIFS('案件台帳'!$C$6:$C$65,$A13,'案件台帳'!$E$6:$E$65,"&lt;="&amp;'案件台帳'!$B$3,'案件台帳'!$F$6:$F$65,"&gt;="&amp;'案件台帳'!$B$3)&gt;1,"⚠ 重複配置 ","")&amp;IF(COUNTIFS('案件台帳'!$C$6:$C$65,$A13)-COUNTIFS('案件台帳'!$C$6:$C$65,$A13,'案件台帳'!$F$6:$F$65,"&gt;0")&gt;0,"⚠ 終了予定日が未入力 ","")&amp;IF($K13="未定","⚠ 次の仕事が未定：営業・見積を前倒し",IF($M13="","",IF($M13&lt;0,"⚠ 前現場と"&amp;ABS($M13)&amp;"日重複",IF($M13=0,"連続稼働（余裕なし）",IF($M13&gt;=7,"⚠ 空き"&amp;$M13&amp;"日：短工期案件の差し込み検討","空き"&amp;$M13&amp;"日"))))))="","OK",TRIM(IF(COUNTIFS('案件台帳'!$C$6:$C$65,$A13,'案件台帳'!$E$6:$E$65,"&lt;="&amp;'案件台帳'!$B$3,'案件台帳'!$F$6:$F$65,"&gt;="&amp;'案件台帳'!$B$3)&gt;1,"⚠ 重複配置 ","")&amp;IF(COUNTIFS('案件台帳'!$C$6:$C$65,$A13)-COUNTIFS('案件台帳'!$C$6:$C$65,$A13,'案件台帳'!$F$6:$F$65,"&gt;0")&gt;0,"⚠ 終了予定日が未入力 ","")&amp;IF($K13="未定","⚠ 次の仕事が未定：営業・見積を前倒し",IF($M13="","",IF($M13&lt;0,"⚠ 前現場と"&amp;ABS($M13)&amp;"日重複",IF($M13=0,"連続稼働（余裕なし）",IF($M13&gt;=7,"⚠ 空き"&amp;$M13&amp;"日：短工期案件の差し込み検討","空き"&amp;$M13&amp;"日"))))))))</f>
        <v/>
      </c>
    </row>
    <row r="14">
      <c r="A14" s="17" t="n"/>
      <c r="B14" s="18">
        <f>IF($A14="","",IF(COUNTIF('案件台帳'!$J$6:$J$65,$A14)&gt;0,"稼働中","空き中"))</f>
        <v/>
      </c>
      <c r="C14" s="19">
        <f>IF($A14="","",IFERROR(IF(INDEX('案件台帳'!$B$6:$B$65,MATCH($A14,'案件台帳'!$J$6:$J$65,0))="","",INDEX('案件台帳'!$B$6:$B$65,MATCH($A14,'案件台帳'!$J$6:$J$65,0))),"―（現在は空き）"))</f>
        <v/>
      </c>
      <c r="D14" s="18">
        <f>IF($A14="","",IFERROR(IF(INDEX('案件台帳'!$D$6:$D$65,MATCH($A14,'案件台帳'!$J$6:$J$65,0))="","",INDEX('案件台帳'!$D$6:$D$65,MATCH($A14,'案件台帳'!$J$6:$J$65,0))),""))</f>
        <v/>
      </c>
      <c r="E14" s="20">
        <f>IF($A14="","",IFERROR(IF(INDEX('案件台帳'!$E$6:$E$65,MATCH($A14,'案件台帳'!$J$6:$J$65,0))="","",INDEX('案件台帳'!$E$6:$E$65,MATCH($A14,'案件台帳'!$J$6:$J$65,0))),""))</f>
        <v/>
      </c>
      <c r="F14" s="20">
        <f>IF($A14="","",IFERROR(IF(INDEX('案件台帳'!$F$6:$F$65,MATCH($A14,'案件台帳'!$J$6:$J$65,0))="","",INDEX('案件台帳'!$F$6:$F$65,MATCH($A14,'案件台帳'!$J$6:$J$65,0))),""))</f>
        <v/>
      </c>
      <c r="G14" s="18">
        <f>IF(OR($E14="",$F14=""),"",$F14-$E14+1)</f>
        <v/>
      </c>
      <c r="H14" s="18">
        <f>IF($E14="","",'案件台帳'!$B$3-$E14+1)</f>
        <v/>
      </c>
      <c r="I14" s="18">
        <f>IF($F14="","",$F14-'案件台帳'!$B$3)</f>
        <v/>
      </c>
      <c r="J14" s="20">
        <f>IF($A14="","",IF($B14="稼働中",IF($F14="","",$F14+1),IFERROR(IF(INDEX('案件台帳'!$F$6:$F$65,MATCH($A14,'案件台帳'!$L$6:$L$65,0))="","",INDEX('案件台帳'!$F$6:$F$65,MATCH($A14,'案件台帳'!$L$6:$L$65,0))+1),'案件台帳'!$B$3)))</f>
        <v/>
      </c>
      <c r="K14" s="19">
        <f>IF($A14="","",IFERROR(IF(INDEX('案件台帳'!$B$6:$B$65,MATCH($A14,'案件台帳'!$K$6:$K$65,0))="","",INDEX('案件台帳'!$B$6:$B$65,MATCH($A14,'案件台帳'!$K$6:$K$65,0))),"未定"))</f>
        <v/>
      </c>
      <c r="L14" s="20">
        <f>IF($A14="","",IFERROR(IF(INDEX('案件台帳'!$E$6:$E$65,MATCH($A14,'案件台帳'!$K$6:$K$65,0))="","",INDEX('案件台帳'!$E$6:$E$65,MATCH($A14,'案件台帳'!$K$6:$K$65,0))),""))</f>
        <v/>
      </c>
      <c r="M14" s="21">
        <f>IF(OR($L14="",$J14=""),"",$L14-$J14)</f>
        <v/>
      </c>
      <c r="N14" s="21">
        <f>IF($L14="","",MAX(0,$L14-MAX('案件台帳'!$B$3,$J14)))</f>
        <v/>
      </c>
      <c r="O14" s="18">
        <f>IF($A14="","",SUMIF('案件台帳'!$C$6:$C$65,$A14,'案件台帳'!$H$6:$H$65))</f>
        <v/>
      </c>
      <c r="P14" s="19">
        <f>IF($A14="","",IF(TRIM(IF(COUNTIFS('案件台帳'!$C$6:$C$65,$A14,'案件台帳'!$E$6:$E$65,"&lt;="&amp;'案件台帳'!$B$3,'案件台帳'!$F$6:$F$65,"&gt;="&amp;'案件台帳'!$B$3)&gt;1,"⚠ 重複配置 ","")&amp;IF(COUNTIFS('案件台帳'!$C$6:$C$65,$A14)-COUNTIFS('案件台帳'!$C$6:$C$65,$A14,'案件台帳'!$F$6:$F$65,"&gt;0")&gt;0,"⚠ 終了予定日が未入力 ","")&amp;IF($K14="未定","⚠ 次の仕事が未定：営業・見積を前倒し",IF($M14="","",IF($M14&lt;0,"⚠ 前現場と"&amp;ABS($M14)&amp;"日重複",IF($M14=0,"連続稼働（余裕なし）",IF($M14&gt;=7,"⚠ 空き"&amp;$M14&amp;"日：短工期案件の差し込み検討","空き"&amp;$M14&amp;"日"))))))="","OK",TRIM(IF(COUNTIFS('案件台帳'!$C$6:$C$65,$A14,'案件台帳'!$E$6:$E$65,"&lt;="&amp;'案件台帳'!$B$3,'案件台帳'!$F$6:$F$65,"&gt;="&amp;'案件台帳'!$B$3)&gt;1,"⚠ 重複配置 ","")&amp;IF(COUNTIFS('案件台帳'!$C$6:$C$65,$A14)-COUNTIFS('案件台帳'!$C$6:$C$65,$A14,'案件台帳'!$F$6:$F$65,"&gt;0")&gt;0,"⚠ 終了予定日が未入力 ","")&amp;IF($K14="未定","⚠ 次の仕事が未定：営業・見積を前倒し",IF($M14="","",IF($M14&lt;0,"⚠ 前現場と"&amp;ABS($M14)&amp;"日重複",IF($M14=0,"連続稼働（余裕なし）",IF($M14&gt;=7,"⚠ 空き"&amp;$M14&amp;"日：短工期案件の差し込み検討","空き"&amp;$M14&amp;"日"))))))))</f>
        <v/>
      </c>
    </row>
    <row r="16">
      <c r="A16" s="4" t="inlineStr">
        <is>
          <t>見方：</t>
        </is>
      </c>
      <c r="B16" s="7" t="inlineStr">
        <is>
          <t>「工期日数」＝終了予定日−開始日＋1（今の現場に入っている総日数）／「経過日数」＝基準日−開始日＋1／「次の仕事までの空き日数」＝次回開始日−空き開始日（0＝連続、マイナス＝重複）</t>
        </is>
      </c>
    </row>
    <row r="17">
      <c r="B17" s="7" t="inlineStr">
        <is>
          <t>職人を増やすときはA列に名前を追加してください（14行目まで数式が入っています）。名前は案件台帳の職人名と完全に一致させること。</t>
        </is>
      </c>
    </row>
  </sheetData>
  <conditionalFormatting sqref="P5:P14">
    <cfRule type="expression" priority="1" dxfId="1">
      <formula>LEFT($P5,1)="⚠"</formula>
    </cfRule>
    <cfRule type="expression" priority="2" dxfId="2">
      <formula>$P5="OK"</formula>
    </cfRule>
  </conditionalFormatting>
  <conditionalFormatting sqref="A5:P14">
    <cfRule type="expression" priority="3" dxfId="3">
      <formula>$B5="空き中"</formula>
    </cfRule>
  </conditionalFormatting>
  <conditionalFormatting sqref="M5:M14">
    <cfRule type="expression" priority="4" dxfId="4">
      <formula>AND(ISNUMBER($M5),$M5&gt;=7)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7" customWidth="1" min="3" max="3"/>
    <col width="11" customWidth="1" min="4" max="4"/>
    <col width="9" customWidth="1" min="5" max="5"/>
    <col width="11" customWidth="1" min="6" max="6"/>
    <col width="22" customWidth="1" min="7" max="7"/>
    <col width="12" customWidth="1" min="8" max="8"/>
    <col width="9" customWidth="1" min="9" max="9"/>
    <col width="13" customWidth="1" min="10" max="10"/>
    <col width="10" customWidth="1" min="11" max="11"/>
  </cols>
  <sheetData>
    <row r="1">
      <c r="A1" s="1" t="inlineStr">
        <is>
          <t>③ 次の仕事は誰を配置するか（空き状況からの自動判定）</t>
        </is>
      </c>
    </row>
    <row r="2">
      <c r="A2" s="7" t="inlineStr">
        <is>
          <t>黄色の3つ（案件名・希望開始日・必要工期）を入れると、職人ごとの可否と推奨順位が出ます。</t>
        </is>
      </c>
    </row>
    <row r="4">
      <c r="A4" s="4" t="inlineStr">
        <is>
          <t>候補案件名</t>
        </is>
      </c>
      <c r="B4" s="12" t="inlineStr">
        <is>
          <t>（例）新規引き合いA様邸</t>
        </is>
      </c>
    </row>
    <row r="5">
      <c r="A5" s="4" t="inlineStr">
        <is>
          <t>希望開始日</t>
        </is>
      </c>
      <c r="B5" s="8" t="n">
        <v>46266</v>
      </c>
    </row>
    <row r="6">
      <c r="A6" s="4" t="inlineStr">
        <is>
          <t>必要工期（日）</t>
        </is>
      </c>
      <c r="B6" s="22" t="n">
        <v>14</v>
      </c>
    </row>
    <row r="7">
      <c r="A7" s="4" t="inlineStr">
        <is>
          <t>希望終了日（自動）</t>
        </is>
      </c>
      <c r="B7" s="23">
        <f>IF(OR($B$5="",$B$6=""),"",$B$5+$B$6-1)</f>
        <v/>
      </c>
      <c r="C7" s="7" t="inlineStr">
        <is>
          <t>← 希望開始日 ＋ 必要工期 − 1</t>
        </is>
      </c>
    </row>
    <row r="9" ht="30" customHeight="1">
      <c r="A9" s="16" t="inlineStr">
        <is>
          <t>職人</t>
        </is>
      </c>
      <c r="B9" s="16" t="inlineStr">
        <is>
          <t>判定</t>
        </is>
      </c>
      <c r="C9" s="16" t="inlineStr">
        <is>
          <t>推奨
順位</t>
        </is>
      </c>
      <c r="D9" s="16" t="inlineStr">
        <is>
          <t>希望開始日
の状況</t>
        </is>
      </c>
      <c r="E9" s="16" t="inlineStr">
        <is>
          <t>重複件数
(確定)</t>
        </is>
      </c>
      <c r="F9" s="16" t="inlineStr">
        <is>
          <t>要確認件数
(日付未入力)</t>
        </is>
      </c>
      <c r="G9" s="16" t="inlineStr">
        <is>
          <t>重複・要確認の物件</t>
        </is>
      </c>
      <c r="H9" s="16" t="inlineStr">
        <is>
          <t>手が空く日</t>
        </is>
      </c>
      <c r="I9" s="16" t="inlineStr">
        <is>
          <t>待ち日数</t>
        </is>
      </c>
      <c r="J9" s="16" t="inlineStr">
        <is>
          <t>次の仕事までの
空き日数</t>
        </is>
      </c>
      <c r="K9" s="16" t="inlineStr">
        <is>
          <t>推奨スコア</t>
        </is>
      </c>
    </row>
    <row r="10">
      <c r="A10" s="24">
        <f>IF(職人ダッシュボード!$A$5="","",職人ダッシュボード!$A$5)</f>
        <v/>
      </c>
      <c r="B10" s="19">
        <f>IF(OR($A10="",$E10=""),"",IF($E10&gt;0,IF(AND($D10="稼働中",ISNUMBER($I10),$I10&lt;=7),"△ "&amp;$I10&amp;"日ずらせば可","× 期間が重複"),IF($F10&gt;0,"▲ 要確認（終了日未入力の案件あり）","◎ そのまま配置可")))</f>
        <v/>
      </c>
      <c r="C10" s="21">
        <f>IF(OR($A10="",$K10=""),"",RANK($K10,$K$10:$K$19))</f>
        <v/>
      </c>
      <c r="D10" s="18">
        <f>IF($A10="","",IF(COUNTIFS('案件台帳'!$C$6:$C$65,$A10,'案件台帳'!$E$6:$E$65,"&lt;="&amp;$B$5,'案件台帳'!$F$6:$F$65,"&gt;="&amp;$B$5)&gt;0,"稼働中","空き"))</f>
        <v/>
      </c>
      <c r="E10" s="18">
        <f>IF(OR($A10="",$B$7=""),"",COUNTIFS('案件台帳'!$C$6:$C$65,$A10,'案件台帳'!$E$6:$E$65,"&lt;="&amp;$B$7,'案件台帳'!$F$6:$F$65,"&gt;="&amp;$B$5))</f>
        <v/>
      </c>
      <c r="F10" s="18">
        <f>IF(OR($A10="",$B$7=""),"",COUNTIFS('案件台帳'!$C$6:$C$65,$A10,'案件台帳'!$E$6:$E$65,"&lt;="&amp;$B$7)-COUNTIFS('案件台帳'!$C$6:$C$65,$A10,'案件台帳'!$E$6:$E$65,"&lt;="&amp;$B$7,'案件台帳'!$F$6:$F$65,"&gt;0")+COUNTIFS('案件台帳'!$C$6:$C$65,$A10,'案件台帳'!$E$6:$E$65,"",'案件台帳'!$F$6:$F$65,"&gt;="&amp;$B$5))</f>
        <v/>
      </c>
      <c r="G10" s="19">
        <f>IF(OR($A10="",$E10=""),"",IF($E10+$F10=0,"—",IFERROR(INDEX('案件台帳'!$B$6:$B$65,SUMPRODUCT(MAX(('案件台帳'!$C$6:$C$65=$A10)*('案件台帳'!$E$6:$E$65&lt;=$B$7)*(('案件台帳'!$F$6:$F$65&gt;=$B$5)+('案件台帳'!$F$6:$F$65=""))*ROW('案件台帳'!$C$6:$C$65)))-5),"")))</f>
        <v/>
      </c>
      <c r="H10" s="20">
        <f>IF($A10="","",IF($D10="空き",$B$5,IF(SUMIFS('案件台帳'!$F$6:$F$65,'案件台帳'!$C$6:$C$65,$A10,'案件台帳'!$E$6:$E$65,"&lt;="&amp;$B$5,'案件台帳'!$F$6:$F$65,"&gt;="&amp;$B$5)=0,"",SUMIFS('案件台帳'!$F$6:$F$65,'案件台帳'!$C$6:$C$65,$A10,'案件台帳'!$E$6:$E$65,"&lt;="&amp;$B$5,'案件台帳'!$F$6:$F$65,"&gt;="&amp;$B$5)+1)))</f>
        <v/>
      </c>
      <c r="I10" s="18">
        <f>IF(OR($A10="",$H10=""),"",MAX(0,$H10-$B$5))</f>
        <v/>
      </c>
      <c r="J10" s="18">
        <f>IF($A10="","",IFERROR(INDEX(職人ダッシュボード!$M$5:$M$14,MATCH($A10,職人ダッシュボード!$A$5:$A$14,0)),""))</f>
        <v/>
      </c>
      <c r="K10" s="18">
        <f>IF(OR($A10="",$E10=""),"",IF($E10&gt;0,IF(AND($D10="稼働中",ISNUMBER($I10),$I10&lt;=7),MAX(0,60-$I10*2),0),IF($F10&gt;0,70,100))+IF(ISNUMBER($J10),MIN(MAX($J10,0),30),0))</f>
        <v/>
      </c>
    </row>
    <row r="11">
      <c r="A11" s="24">
        <f>IF(職人ダッシュボード!$A$6="","",職人ダッシュボード!$A$6)</f>
        <v/>
      </c>
      <c r="B11" s="19">
        <f>IF(OR($A11="",$E11=""),"",IF($E11&gt;0,IF(AND($D11="稼働中",ISNUMBER($I11),$I11&lt;=7),"△ "&amp;$I11&amp;"日ずらせば可","× 期間が重複"),IF($F11&gt;0,"▲ 要確認（終了日未入力の案件あり）","◎ そのまま配置可")))</f>
        <v/>
      </c>
      <c r="C11" s="21">
        <f>IF(OR($A11="",$K11=""),"",RANK($K11,$K$10:$K$19))</f>
        <v/>
      </c>
      <c r="D11" s="18">
        <f>IF($A11="","",IF(COUNTIFS('案件台帳'!$C$6:$C$65,$A11,'案件台帳'!$E$6:$E$65,"&lt;="&amp;$B$5,'案件台帳'!$F$6:$F$65,"&gt;="&amp;$B$5)&gt;0,"稼働中","空き"))</f>
        <v/>
      </c>
      <c r="E11" s="18">
        <f>IF(OR($A11="",$B$7=""),"",COUNTIFS('案件台帳'!$C$6:$C$65,$A11,'案件台帳'!$E$6:$E$65,"&lt;="&amp;$B$7,'案件台帳'!$F$6:$F$65,"&gt;="&amp;$B$5))</f>
        <v/>
      </c>
      <c r="F11" s="18">
        <f>IF(OR($A11="",$B$7=""),"",COUNTIFS('案件台帳'!$C$6:$C$65,$A11,'案件台帳'!$E$6:$E$65,"&lt;="&amp;$B$7)-COUNTIFS('案件台帳'!$C$6:$C$65,$A11,'案件台帳'!$E$6:$E$65,"&lt;="&amp;$B$7,'案件台帳'!$F$6:$F$65,"&gt;0")+COUNTIFS('案件台帳'!$C$6:$C$65,$A11,'案件台帳'!$E$6:$E$65,"",'案件台帳'!$F$6:$F$65,"&gt;="&amp;$B$5))</f>
        <v/>
      </c>
      <c r="G11" s="19">
        <f>IF(OR($A11="",$E11=""),"",IF($E11+$F11=0,"—",IFERROR(INDEX('案件台帳'!$B$6:$B$65,SUMPRODUCT(MAX(('案件台帳'!$C$6:$C$65=$A11)*('案件台帳'!$E$6:$E$65&lt;=$B$7)*(('案件台帳'!$F$6:$F$65&gt;=$B$5)+('案件台帳'!$F$6:$F$65=""))*ROW('案件台帳'!$C$6:$C$65)))-5),"")))</f>
        <v/>
      </c>
      <c r="H11" s="20">
        <f>IF($A11="","",IF($D11="空き",$B$5,IF(SUMIFS('案件台帳'!$F$6:$F$65,'案件台帳'!$C$6:$C$65,$A11,'案件台帳'!$E$6:$E$65,"&lt;="&amp;$B$5,'案件台帳'!$F$6:$F$65,"&gt;="&amp;$B$5)=0,"",SUMIFS('案件台帳'!$F$6:$F$65,'案件台帳'!$C$6:$C$65,$A11,'案件台帳'!$E$6:$E$65,"&lt;="&amp;$B$5,'案件台帳'!$F$6:$F$65,"&gt;="&amp;$B$5)+1)))</f>
        <v/>
      </c>
      <c r="I11" s="18">
        <f>IF(OR($A11="",$H11=""),"",MAX(0,$H11-$B$5))</f>
        <v/>
      </c>
      <c r="J11" s="18">
        <f>IF($A11="","",IFERROR(INDEX(職人ダッシュボード!$M$5:$M$14,MATCH($A11,職人ダッシュボード!$A$5:$A$14,0)),""))</f>
        <v/>
      </c>
      <c r="K11" s="18">
        <f>IF(OR($A11="",$E11=""),"",IF($E11&gt;0,IF(AND($D11="稼働中",ISNUMBER($I11),$I11&lt;=7),MAX(0,60-$I11*2),0),IF($F11&gt;0,70,100))+IF(ISNUMBER($J11),MIN(MAX($J11,0),30),0))</f>
        <v/>
      </c>
    </row>
    <row r="12">
      <c r="A12" s="24">
        <f>IF(職人ダッシュボード!$A$7="","",職人ダッシュボード!$A$7)</f>
        <v/>
      </c>
      <c r="B12" s="19">
        <f>IF(OR($A12="",$E12=""),"",IF($E12&gt;0,IF(AND($D12="稼働中",ISNUMBER($I12),$I12&lt;=7),"△ "&amp;$I12&amp;"日ずらせば可","× 期間が重複"),IF($F12&gt;0,"▲ 要確認（終了日未入力の案件あり）","◎ そのまま配置可")))</f>
        <v/>
      </c>
      <c r="C12" s="21">
        <f>IF(OR($A12="",$K12=""),"",RANK($K12,$K$10:$K$19))</f>
        <v/>
      </c>
      <c r="D12" s="18">
        <f>IF($A12="","",IF(COUNTIFS('案件台帳'!$C$6:$C$65,$A12,'案件台帳'!$E$6:$E$65,"&lt;="&amp;$B$5,'案件台帳'!$F$6:$F$65,"&gt;="&amp;$B$5)&gt;0,"稼働中","空き"))</f>
        <v/>
      </c>
      <c r="E12" s="18">
        <f>IF(OR($A12="",$B$7=""),"",COUNTIFS('案件台帳'!$C$6:$C$65,$A12,'案件台帳'!$E$6:$E$65,"&lt;="&amp;$B$7,'案件台帳'!$F$6:$F$65,"&gt;="&amp;$B$5))</f>
        <v/>
      </c>
      <c r="F12" s="18">
        <f>IF(OR($A12="",$B$7=""),"",COUNTIFS('案件台帳'!$C$6:$C$65,$A12,'案件台帳'!$E$6:$E$65,"&lt;="&amp;$B$7)-COUNTIFS('案件台帳'!$C$6:$C$65,$A12,'案件台帳'!$E$6:$E$65,"&lt;="&amp;$B$7,'案件台帳'!$F$6:$F$65,"&gt;0")+COUNTIFS('案件台帳'!$C$6:$C$65,$A12,'案件台帳'!$E$6:$E$65,"",'案件台帳'!$F$6:$F$65,"&gt;="&amp;$B$5))</f>
        <v/>
      </c>
      <c r="G12" s="19">
        <f>IF(OR($A12="",$E12=""),"",IF($E12+$F12=0,"—",IFERROR(INDEX('案件台帳'!$B$6:$B$65,SUMPRODUCT(MAX(('案件台帳'!$C$6:$C$65=$A12)*('案件台帳'!$E$6:$E$65&lt;=$B$7)*(('案件台帳'!$F$6:$F$65&gt;=$B$5)+('案件台帳'!$F$6:$F$65=""))*ROW('案件台帳'!$C$6:$C$65)))-5),"")))</f>
        <v/>
      </c>
      <c r="H12" s="20">
        <f>IF($A12="","",IF($D12="空き",$B$5,IF(SUMIFS('案件台帳'!$F$6:$F$65,'案件台帳'!$C$6:$C$65,$A12,'案件台帳'!$E$6:$E$65,"&lt;="&amp;$B$5,'案件台帳'!$F$6:$F$65,"&gt;="&amp;$B$5)=0,"",SUMIFS('案件台帳'!$F$6:$F$65,'案件台帳'!$C$6:$C$65,$A12,'案件台帳'!$E$6:$E$65,"&lt;="&amp;$B$5,'案件台帳'!$F$6:$F$65,"&gt;="&amp;$B$5)+1)))</f>
        <v/>
      </c>
      <c r="I12" s="18">
        <f>IF(OR($A12="",$H12=""),"",MAX(0,$H12-$B$5))</f>
        <v/>
      </c>
      <c r="J12" s="18">
        <f>IF($A12="","",IFERROR(INDEX(職人ダッシュボード!$M$5:$M$14,MATCH($A12,職人ダッシュボード!$A$5:$A$14,0)),""))</f>
        <v/>
      </c>
      <c r="K12" s="18">
        <f>IF(OR($A12="",$E12=""),"",IF($E12&gt;0,IF(AND($D12="稼働中",ISNUMBER($I12),$I12&lt;=7),MAX(0,60-$I12*2),0),IF($F12&gt;0,70,100))+IF(ISNUMBER($J12),MIN(MAX($J12,0),30),0))</f>
        <v/>
      </c>
    </row>
    <row r="13">
      <c r="A13" s="24">
        <f>IF(職人ダッシュボード!$A$8="","",職人ダッシュボード!$A$8)</f>
        <v/>
      </c>
      <c r="B13" s="19">
        <f>IF(OR($A13="",$E13=""),"",IF($E13&gt;0,IF(AND($D13="稼働中",ISNUMBER($I13),$I13&lt;=7),"△ "&amp;$I13&amp;"日ずらせば可","× 期間が重複"),IF($F13&gt;0,"▲ 要確認（終了日未入力の案件あり）","◎ そのまま配置可")))</f>
        <v/>
      </c>
      <c r="C13" s="21">
        <f>IF(OR($A13="",$K13=""),"",RANK($K13,$K$10:$K$19))</f>
        <v/>
      </c>
      <c r="D13" s="18">
        <f>IF($A13="","",IF(COUNTIFS('案件台帳'!$C$6:$C$65,$A13,'案件台帳'!$E$6:$E$65,"&lt;="&amp;$B$5,'案件台帳'!$F$6:$F$65,"&gt;="&amp;$B$5)&gt;0,"稼働中","空き"))</f>
        <v/>
      </c>
      <c r="E13" s="18">
        <f>IF(OR($A13="",$B$7=""),"",COUNTIFS('案件台帳'!$C$6:$C$65,$A13,'案件台帳'!$E$6:$E$65,"&lt;="&amp;$B$7,'案件台帳'!$F$6:$F$65,"&gt;="&amp;$B$5))</f>
        <v/>
      </c>
      <c r="F13" s="18">
        <f>IF(OR($A13="",$B$7=""),"",COUNTIFS('案件台帳'!$C$6:$C$65,$A13,'案件台帳'!$E$6:$E$65,"&lt;="&amp;$B$7)-COUNTIFS('案件台帳'!$C$6:$C$65,$A13,'案件台帳'!$E$6:$E$65,"&lt;="&amp;$B$7,'案件台帳'!$F$6:$F$65,"&gt;0")+COUNTIFS('案件台帳'!$C$6:$C$65,$A13,'案件台帳'!$E$6:$E$65,"",'案件台帳'!$F$6:$F$65,"&gt;="&amp;$B$5))</f>
        <v/>
      </c>
      <c r="G13" s="19">
        <f>IF(OR($A13="",$E13=""),"",IF($E13+$F13=0,"—",IFERROR(INDEX('案件台帳'!$B$6:$B$65,SUMPRODUCT(MAX(('案件台帳'!$C$6:$C$65=$A13)*('案件台帳'!$E$6:$E$65&lt;=$B$7)*(('案件台帳'!$F$6:$F$65&gt;=$B$5)+('案件台帳'!$F$6:$F$65=""))*ROW('案件台帳'!$C$6:$C$65)))-5),"")))</f>
        <v/>
      </c>
      <c r="H13" s="20">
        <f>IF($A13="","",IF($D13="空き",$B$5,IF(SUMIFS('案件台帳'!$F$6:$F$65,'案件台帳'!$C$6:$C$65,$A13,'案件台帳'!$E$6:$E$65,"&lt;="&amp;$B$5,'案件台帳'!$F$6:$F$65,"&gt;="&amp;$B$5)=0,"",SUMIFS('案件台帳'!$F$6:$F$65,'案件台帳'!$C$6:$C$65,$A13,'案件台帳'!$E$6:$E$65,"&lt;="&amp;$B$5,'案件台帳'!$F$6:$F$65,"&gt;="&amp;$B$5)+1)))</f>
        <v/>
      </c>
      <c r="I13" s="18">
        <f>IF(OR($A13="",$H13=""),"",MAX(0,$H13-$B$5))</f>
        <v/>
      </c>
      <c r="J13" s="18">
        <f>IF($A13="","",IFERROR(INDEX(職人ダッシュボード!$M$5:$M$14,MATCH($A13,職人ダッシュボード!$A$5:$A$14,0)),""))</f>
        <v/>
      </c>
      <c r="K13" s="18">
        <f>IF(OR($A13="",$E13=""),"",IF($E13&gt;0,IF(AND($D13="稼働中",ISNUMBER($I13),$I13&lt;=7),MAX(0,60-$I13*2),0),IF($F13&gt;0,70,100))+IF(ISNUMBER($J13),MIN(MAX($J13,0),30),0))</f>
        <v/>
      </c>
    </row>
    <row r="14">
      <c r="A14" s="24">
        <f>IF(職人ダッシュボード!$A$9="","",職人ダッシュボード!$A$9)</f>
        <v/>
      </c>
      <c r="B14" s="19">
        <f>IF(OR($A14="",$E14=""),"",IF($E14&gt;0,IF(AND($D14="稼働中",ISNUMBER($I14),$I14&lt;=7),"△ "&amp;$I14&amp;"日ずらせば可","× 期間が重複"),IF($F14&gt;0,"▲ 要確認（終了日未入力の案件あり）","◎ そのまま配置可")))</f>
        <v/>
      </c>
      <c r="C14" s="21">
        <f>IF(OR($A14="",$K14=""),"",RANK($K14,$K$10:$K$19))</f>
        <v/>
      </c>
      <c r="D14" s="18">
        <f>IF($A14="","",IF(COUNTIFS('案件台帳'!$C$6:$C$65,$A14,'案件台帳'!$E$6:$E$65,"&lt;="&amp;$B$5,'案件台帳'!$F$6:$F$65,"&gt;="&amp;$B$5)&gt;0,"稼働中","空き"))</f>
        <v/>
      </c>
      <c r="E14" s="18">
        <f>IF(OR($A14="",$B$7=""),"",COUNTIFS('案件台帳'!$C$6:$C$65,$A14,'案件台帳'!$E$6:$E$65,"&lt;="&amp;$B$7,'案件台帳'!$F$6:$F$65,"&gt;="&amp;$B$5))</f>
        <v/>
      </c>
      <c r="F14" s="18">
        <f>IF(OR($A14="",$B$7=""),"",COUNTIFS('案件台帳'!$C$6:$C$65,$A14,'案件台帳'!$E$6:$E$65,"&lt;="&amp;$B$7)-COUNTIFS('案件台帳'!$C$6:$C$65,$A14,'案件台帳'!$E$6:$E$65,"&lt;="&amp;$B$7,'案件台帳'!$F$6:$F$65,"&gt;0")+COUNTIFS('案件台帳'!$C$6:$C$65,$A14,'案件台帳'!$E$6:$E$65,"",'案件台帳'!$F$6:$F$65,"&gt;="&amp;$B$5))</f>
        <v/>
      </c>
      <c r="G14" s="19">
        <f>IF(OR($A14="",$E14=""),"",IF($E14+$F14=0,"—",IFERROR(INDEX('案件台帳'!$B$6:$B$65,SUMPRODUCT(MAX(('案件台帳'!$C$6:$C$65=$A14)*('案件台帳'!$E$6:$E$65&lt;=$B$7)*(('案件台帳'!$F$6:$F$65&gt;=$B$5)+('案件台帳'!$F$6:$F$65=""))*ROW('案件台帳'!$C$6:$C$65)))-5),"")))</f>
        <v/>
      </c>
      <c r="H14" s="20">
        <f>IF($A14="","",IF($D14="空き",$B$5,IF(SUMIFS('案件台帳'!$F$6:$F$65,'案件台帳'!$C$6:$C$65,$A14,'案件台帳'!$E$6:$E$65,"&lt;="&amp;$B$5,'案件台帳'!$F$6:$F$65,"&gt;="&amp;$B$5)=0,"",SUMIFS('案件台帳'!$F$6:$F$65,'案件台帳'!$C$6:$C$65,$A14,'案件台帳'!$E$6:$E$65,"&lt;="&amp;$B$5,'案件台帳'!$F$6:$F$65,"&gt;="&amp;$B$5)+1)))</f>
        <v/>
      </c>
      <c r="I14" s="18">
        <f>IF(OR($A14="",$H14=""),"",MAX(0,$H14-$B$5))</f>
        <v/>
      </c>
      <c r="J14" s="18">
        <f>IF($A14="","",IFERROR(INDEX(職人ダッシュボード!$M$5:$M$14,MATCH($A14,職人ダッシュボード!$A$5:$A$14,0)),""))</f>
        <v/>
      </c>
      <c r="K14" s="18">
        <f>IF(OR($A14="",$E14=""),"",IF($E14&gt;0,IF(AND($D14="稼働中",ISNUMBER($I14),$I14&lt;=7),MAX(0,60-$I14*2),0),IF($F14&gt;0,70,100))+IF(ISNUMBER($J14),MIN(MAX($J14,0),30),0))</f>
        <v/>
      </c>
    </row>
    <row r="15">
      <c r="A15" s="24">
        <f>IF(職人ダッシュボード!$A$10="","",職人ダッシュボード!$A$10)</f>
        <v/>
      </c>
      <c r="B15" s="19">
        <f>IF(OR($A15="",$E15=""),"",IF($E15&gt;0,IF(AND($D15="稼働中",ISNUMBER($I15),$I15&lt;=7),"△ "&amp;$I15&amp;"日ずらせば可","× 期間が重複"),IF($F15&gt;0,"▲ 要確認（終了日未入力の案件あり）","◎ そのまま配置可")))</f>
        <v/>
      </c>
      <c r="C15" s="21">
        <f>IF(OR($A15="",$K15=""),"",RANK($K15,$K$10:$K$19))</f>
        <v/>
      </c>
      <c r="D15" s="18">
        <f>IF($A15="","",IF(COUNTIFS('案件台帳'!$C$6:$C$65,$A15,'案件台帳'!$E$6:$E$65,"&lt;="&amp;$B$5,'案件台帳'!$F$6:$F$65,"&gt;="&amp;$B$5)&gt;0,"稼働中","空き"))</f>
        <v/>
      </c>
      <c r="E15" s="18">
        <f>IF(OR($A15="",$B$7=""),"",COUNTIFS('案件台帳'!$C$6:$C$65,$A15,'案件台帳'!$E$6:$E$65,"&lt;="&amp;$B$7,'案件台帳'!$F$6:$F$65,"&gt;="&amp;$B$5))</f>
        <v/>
      </c>
      <c r="F15" s="18">
        <f>IF(OR($A15="",$B$7=""),"",COUNTIFS('案件台帳'!$C$6:$C$65,$A15,'案件台帳'!$E$6:$E$65,"&lt;="&amp;$B$7)-COUNTIFS('案件台帳'!$C$6:$C$65,$A15,'案件台帳'!$E$6:$E$65,"&lt;="&amp;$B$7,'案件台帳'!$F$6:$F$65,"&gt;0")+COUNTIFS('案件台帳'!$C$6:$C$65,$A15,'案件台帳'!$E$6:$E$65,"",'案件台帳'!$F$6:$F$65,"&gt;="&amp;$B$5))</f>
        <v/>
      </c>
      <c r="G15" s="19">
        <f>IF(OR($A15="",$E15=""),"",IF($E15+$F15=0,"—",IFERROR(INDEX('案件台帳'!$B$6:$B$65,SUMPRODUCT(MAX(('案件台帳'!$C$6:$C$65=$A15)*('案件台帳'!$E$6:$E$65&lt;=$B$7)*(('案件台帳'!$F$6:$F$65&gt;=$B$5)+('案件台帳'!$F$6:$F$65=""))*ROW('案件台帳'!$C$6:$C$65)))-5),"")))</f>
        <v/>
      </c>
      <c r="H15" s="20">
        <f>IF($A15="","",IF($D15="空き",$B$5,IF(SUMIFS('案件台帳'!$F$6:$F$65,'案件台帳'!$C$6:$C$65,$A15,'案件台帳'!$E$6:$E$65,"&lt;="&amp;$B$5,'案件台帳'!$F$6:$F$65,"&gt;="&amp;$B$5)=0,"",SUMIFS('案件台帳'!$F$6:$F$65,'案件台帳'!$C$6:$C$65,$A15,'案件台帳'!$E$6:$E$65,"&lt;="&amp;$B$5,'案件台帳'!$F$6:$F$65,"&gt;="&amp;$B$5)+1)))</f>
        <v/>
      </c>
      <c r="I15" s="18">
        <f>IF(OR($A15="",$H15=""),"",MAX(0,$H15-$B$5))</f>
        <v/>
      </c>
      <c r="J15" s="18">
        <f>IF($A15="","",IFERROR(INDEX(職人ダッシュボード!$M$5:$M$14,MATCH($A15,職人ダッシュボード!$A$5:$A$14,0)),""))</f>
        <v/>
      </c>
      <c r="K15" s="18">
        <f>IF(OR($A15="",$E15=""),"",IF($E15&gt;0,IF(AND($D15="稼働中",ISNUMBER($I15),$I15&lt;=7),MAX(0,60-$I15*2),0),IF($F15&gt;0,70,100))+IF(ISNUMBER($J15),MIN(MAX($J15,0),30),0))</f>
        <v/>
      </c>
    </row>
    <row r="16">
      <c r="A16" s="24">
        <f>IF(職人ダッシュボード!$A$11="","",職人ダッシュボード!$A$11)</f>
        <v/>
      </c>
      <c r="B16" s="19">
        <f>IF(OR($A16="",$E16=""),"",IF($E16&gt;0,IF(AND($D16="稼働中",ISNUMBER($I16),$I16&lt;=7),"△ "&amp;$I16&amp;"日ずらせば可","× 期間が重複"),IF($F16&gt;0,"▲ 要確認（終了日未入力の案件あり）","◎ そのまま配置可")))</f>
        <v/>
      </c>
      <c r="C16" s="21">
        <f>IF(OR($A16="",$K16=""),"",RANK($K16,$K$10:$K$19))</f>
        <v/>
      </c>
      <c r="D16" s="18">
        <f>IF($A16="","",IF(COUNTIFS('案件台帳'!$C$6:$C$65,$A16,'案件台帳'!$E$6:$E$65,"&lt;="&amp;$B$5,'案件台帳'!$F$6:$F$65,"&gt;="&amp;$B$5)&gt;0,"稼働中","空き"))</f>
        <v/>
      </c>
      <c r="E16" s="18">
        <f>IF(OR($A16="",$B$7=""),"",COUNTIFS('案件台帳'!$C$6:$C$65,$A16,'案件台帳'!$E$6:$E$65,"&lt;="&amp;$B$7,'案件台帳'!$F$6:$F$65,"&gt;="&amp;$B$5))</f>
        <v/>
      </c>
      <c r="F16" s="18">
        <f>IF(OR($A16="",$B$7=""),"",COUNTIFS('案件台帳'!$C$6:$C$65,$A16,'案件台帳'!$E$6:$E$65,"&lt;="&amp;$B$7)-COUNTIFS('案件台帳'!$C$6:$C$65,$A16,'案件台帳'!$E$6:$E$65,"&lt;="&amp;$B$7,'案件台帳'!$F$6:$F$65,"&gt;0")+COUNTIFS('案件台帳'!$C$6:$C$65,$A16,'案件台帳'!$E$6:$E$65,"",'案件台帳'!$F$6:$F$65,"&gt;="&amp;$B$5))</f>
        <v/>
      </c>
      <c r="G16" s="19">
        <f>IF(OR($A16="",$E16=""),"",IF($E16+$F16=0,"—",IFERROR(INDEX('案件台帳'!$B$6:$B$65,SUMPRODUCT(MAX(('案件台帳'!$C$6:$C$65=$A16)*('案件台帳'!$E$6:$E$65&lt;=$B$7)*(('案件台帳'!$F$6:$F$65&gt;=$B$5)+('案件台帳'!$F$6:$F$65=""))*ROW('案件台帳'!$C$6:$C$65)))-5),"")))</f>
        <v/>
      </c>
      <c r="H16" s="20">
        <f>IF($A16="","",IF($D16="空き",$B$5,IF(SUMIFS('案件台帳'!$F$6:$F$65,'案件台帳'!$C$6:$C$65,$A16,'案件台帳'!$E$6:$E$65,"&lt;="&amp;$B$5,'案件台帳'!$F$6:$F$65,"&gt;="&amp;$B$5)=0,"",SUMIFS('案件台帳'!$F$6:$F$65,'案件台帳'!$C$6:$C$65,$A16,'案件台帳'!$E$6:$E$65,"&lt;="&amp;$B$5,'案件台帳'!$F$6:$F$65,"&gt;="&amp;$B$5)+1)))</f>
        <v/>
      </c>
      <c r="I16" s="18">
        <f>IF(OR($A16="",$H16=""),"",MAX(0,$H16-$B$5))</f>
        <v/>
      </c>
      <c r="J16" s="18">
        <f>IF($A16="","",IFERROR(INDEX(職人ダッシュボード!$M$5:$M$14,MATCH($A16,職人ダッシュボード!$A$5:$A$14,0)),""))</f>
        <v/>
      </c>
      <c r="K16" s="18">
        <f>IF(OR($A16="",$E16=""),"",IF($E16&gt;0,IF(AND($D16="稼働中",ISNUMBER($I16),$I16&lt;=7),MAX(0,60-$I16*2),0),IF($F16&gt;0,70,100))+IF(ISNUMBER($J16),MIN(MAX($J16,0),30),0))</f>
        <v/>
      </c>
    </row>
    <row r="17">
      <c r="A17" s="24">
        <f>IF(職人ダッシュボード!$A$12="","",職人ダッシュボード!$A$12)</f>
        <v/>
      </c>
      <c r="B17" s="19">
        <f>IF(OR($A17="",$E17=""),"",IF($E17&gt;0,IF(AND($D17="稼働中",ISNUMBER($I17),$I17&lt;=7),"△ "&amp;$I17&amp;"日ずらせば可","× 期間が重複"),IF($F17&gt;0,"▲ 要確認（終了日未入力の案件あり）","◎ そのまま配置可")))</f>
        <v/>
      </c>
      <c r="C17" s="21">
        <f>IF(OR($A17="",$K17=""),"",RANK($K17,$K$10:$K$19))</f>
        <v/>
      </c>
      <c r="D17" s="18">
        <f>IF($A17="","",IF(COUNTIFS('案件台帳'!$C$6:$C$65,$A17,'案件台帳'!$E$6:$E$65,"&lt;="&amp;$B$5,'案件台帳'!$F$6:$F$65,"&gt;="&amp;$B$5)&gt;0,"稼働中","空き"))</f>
        <v/>
      </c>
      <c r="E17" s="18">
        <f>IF(OR($A17="",$B$7=""),"",COUNTIFS('案件台帳'!$C$6:$C$65,$A17,'案件台帳'!$E$6:$E$65,"&lt;="&amp;$B$7,'案件台帳'!$F$6:$F$65,"&gt;="&amp;$B$5))</f>
        <v/>
      </c>
      <c r="F17" s="18">
        <f>IF(OR($A17="",$B$7=""),"",COUNTIFS('案件台帳'!$C$6:$C$65,$A17,'案件台帳'!$E$6:$E$65,"&lt;="&amp;$B$7)-COUNTIFS('案件台帳'!$C$6:$C$65,$A17,'案件台帳'!$E$6:$E$65,"&lt;="&amp;$B$7,'案件台帳'!$F$6:$F$65,"&gt;0")+COUNTIFS('案件台帳'!$C$6:$C$65,$A17,'案件台帳'!$E$6:$E$65,"",'案件台帳'!$F$6:$F$65,"&gt;="&amp;$B$5))</f>
        <v/>
      </c>
      <c r="G17" s="19">
        <f>IF(OR($A17="",$E17=""),"",IF($E17+$F17=0,"—",IFERROR(INDEX('案件台帳'!$B$6:$B$65,SUMPRODUCT(MAX(('案件台帳'!$C$6:$C$65=$A17)*('案件台帳'!$E$6:$E$65&lt;=$B$7)*(('案件台帳'!$F$6:$F$65&gt;=$B$5)+('案件台帳'!$F$6:$F$65=""))*ROW('案件台帳'!$C$6:$C$65)))-5),"")))</f>
        <v/>
      </c>
      <c r="H17" s="20">
        <f>IF($A17="","",IF($D17="空き",$B$5,IF(SUMIFS('案件台帳'!$F$6:$F$65,'案件台帳'!$C$6:$C$65,$A17,'案件台帳'!$E$6:$E$65,"&lt;="&amp;$B$5,'案件台帳'!$F$6:$F$65,"&gt;="&amp;$B$5)=0,"",SUMIFS('案件台帳'!$F$6:$F$65,'案件台帳'!$C$6:$C$65,$A17,'案件台帳'!$E$6:$E$65,"&lt;="&amp;$B$5,'案件台帳'!$F$6:$F$65,"&gt;="&amp;$B$5)+1)))</f>
        <v/>
      </c>
      <c r="I17" s="18">
        <f>IF(OR($A17="",$H17=""),"",MAX(0,$H17-$B$5))</f>
        <v/>
      </c>
      <c r="J17" s="18">
        <f>IF($A17="","",IFERROR(INDEX(職人ダッシュボード!$M$5:$M$14,MATCH($A17,職人ダッシュボード!$A$5:$A$14,0)),""))</f>
        <v/>
      </c>
      <c r="K17" s="18">
        <f>IF(OR($A17="",$E17=""),"",IF($E17&gt;0,IF(AND($D17="稼働中",ISNUMBER($I17),$I17&lt;=7),MAX(0,60-$I17*2),0),IF($F17&gt;0,70,100))+IF(ISNUMBER($J17),MIN(MAX($J17,0),30),0))</f>
        <v/>
      </c>
    </row>
    <row r="18">
      <c r="A18" s="24">
        <f>IF(職人ダッシュボード!$A$13="","",職人ダッシュボード!$A$13)</f>
        <v/>
      </c>
      <c r="B18" s="19">
        <f>IF(OR($A18="",$E18=""),"",IF($E18&gt;0,IF(AND($D18="稼働中",ISNUMBER($I18),$I18&lt;=7),"△ "&amp;$I18&amp;"日ずらせば可","× 期間が重複"),IF($F18&gt;0,"▲ 要確認（終了日未入力の案件あり）","◎ そのまま配置可")))</f>
        <v/>
      </c>
      <c r="C18" s="21">
        <f>IF(OR($A18="",$K18=""),"",RANK($K18,$K$10:$K$19))</f>
        <v/>
      </c>
      <c r="D18" s="18">
        <f>IF($A18="","",IF(COUNTIFS('案件台帳'!$C$6:$C$65,$A18,'案件台帳'!$E$6:$E$65,"&lt;="&amp;$B$5,'案件台帳'!$F$6:$F$65,"&gt;="&amp;$B$5)&gt;0,"稼働中","空き"))</f>
        <v/>
      </c>
      <c r="E18" s="18">
        <f>IF(OR($A18="",$B$7=""),"",COUNTIFS('案件台帳'!$C$6:$C$65,$A18,'案件台帳'!$E$6:$E$65,"&lt;="&amp;$B$7,'案件台帳'!$F$6:$F$65,"&gt;="&amp;$B$5))</f>
        <v/>
      </c>
      <c r="F18" s="18">
        <f>IF(OR($A18="",$B$7=""),"",COUNTIFS('案件台帳'!$C$6:$C$65,$A18,'案件台帳'!$E$6:$E$65,"&lt;="&amp;$B$7)-COUNTIFS('案件台帳'!$C$6:$C$65,$A18,'案件台帳'!$E$6:$E$65,"&lt;="&amp;$B$7,'案件台帳'!$F$6:$F$65,"&gt;0")+COUNTIFS('案件台帳'!$C$6:$C$65,$A18,'案件台帳'!$E$6:$E$65,"",'案件台帳'!$F$6:$F$65,"&gt;="&amp;$B$5))</f>
        <v/>
      </c>
      <c r="G18" s="19">
        <f>IF(OR($A18="",$E18=""),"",IF($E18+$F18=0,"—",IFERROR(INDEX('案件台帳'!$B$6:$B$65,SUMPRODUCT(MAX(('案件台帳'!$C$6:$C$65=$A18)*('案件台帳'!$E$6:$E$65&lt;=$B$7)*(('案件台帳'!$F$6:$F$65&gt;=$B$5)+('案件台帳'!$F$6:$F$65=""))*ROW('案件台帳'!$C$6:$C$65)))-5),"")))</f>
        <v/>
      </c>
      <c r="H18" s="20">
        <f>IF($A18="","",IF($D18="空き",$B$5,IF(SUMIFS('案件台帳'!$F$6:$F$65,'案件台帳'!$C$6:$C$65,$A18,'案件台帳'!$E$6:$E$65,"&lt;="&amp;$B$5,'案件台帳'!$F$6:$F$65,"&gt;="&amp;$B$5)=0,"",SUMIFS('案件台帳'!$F$6:$F$65,'案件台帳'!$C$6:$C$65,$A18,'案件台帳'!$E$6:$E$65,"&lt;="&amp;$B$5,'案件台帳'!$F$6:$F$65,"&gt;="&amp;$B$5)+1)))</f>
        <v/>
      </c>
      <c r="I18" s="18">
        <f>IF(OR($A18="",$H18=""),"",MAX(0,$H18-$B$5))</f>
        <v/>
      </c>
      <c r="J18" s="18">
        <f>IF($A18="","",IFERROR(INDEX(職人ダッシュボード!$M$5:$M$14,MATCH($A18,職人ダッシュボード!$A$5:$A$14,0)),""))</f>
        <v/>
      </c>
      <c r="K18" s="18">
        <f>IF(OR($A18="",$E18=""),"",IF($E18&gt;0,IF(AND($D18="稼働中",ISNUMBER($I18),$I18&lt;=7),MAX(0,60-$I18*2),0),IF($F18&gt;0,70,100))+IF(ISNUMBER($J18),MIN(MAX($J18,0),30),0))</f>
        <v/>
      </c>
    </row>
    <row r="19">
      <c r="A19" s="24">
        <f>IF(職人ダッシュボード!$A$14="","",職人ダッシュボード!$A$14)</f>
        <v/>
      </c>
      <c r="B19" s="19">
        <f>IF(OR($A19="",$E19=""),"",IF($E19&gt;0,IF(AND($D19="稼働中",ISNUMBER($I19),$I19&lt;=7),"△ "&amp;$I19&amp;"日ずらせば可","× 期間が重複"),IF($F19&gt;0,"▲ 要確認（終了日未入力の案件あり）","◎ そのまま配置可")))</f>
        <v/>
      </c>
      <c r="C19" s="21">
        <f>IF(OR($A19="",$K19=""),"",RANK($K19,$K$10:$K$19))</f>
        <v/>
      </c>
      <c r="D19" s="18">
        <f>IF($A19="","",IF(COUNTIFS('案件台帳'!$C$6:$C$65,$A19,'案件台帳'!$E$6:$E$65,"&lt;="&amp;$B$5,'案件台帳'!$F$6:$F$65,"&gt;="&amp;$B$5)&gt;0,"稼働中","空き"))</f>
        <v/>
      </c>
      <c r="E19" s="18">
        <f>IF(OR($A19="",$B$7=""),"",COUNTIFS('案件台帳'!$C$6:$C$65,$A19,'案件台帳'!$E$6:$E$65,"&lt;="&amp;$B$7,'案件台帳'!$F$6:$F$65,"&gt;="&amp;$B$5))</f>
        <v/>
      </c>
      <c r="F19" s="18">
        <f>IF(OR($A19="",$B$7=""),"",COUNTIFS('案件台帳'!$C$6:$C$65,$A19,'案件台帳'!$E$6:$E$65,"&lt;="&amp;$B$7)-COUNTIFS('案件台帳'!$C$6:$C$65,$A19,'案件台帳'!$E$6:$E$65,"&lt;="&amp;$B$7,'案件台帳'!$F$6:$F$65,"&gt;0")+COUNTIFS('案件台帳'!$C$6:$C$65,$A19,'案件台帳'!$E$6:$E$65,"",'案件台帳'!$F$6:$F$65,"&gt;="&amp;$B$5))</f>
        <v/>
      </c>
      <c r="G19" s="19">
        <f>IF(OR($A19="",$E19=""),"",IF($E19+$F19=0,"—",IFERROR(INDEX('案件台帳'!$B$6:$B$65,SUMPRODUCT(MAX(('案件台帳'!$C$6:$C$65=$A19)*('案件台帳'!$E$6:$E$65&lt;=$B$7)*(('案件台帳'!$F$6:$F$65&gt;=$B$5)+('案件台帳'!$F$6:$F$65=""))*ROW('案件台帳'!$C$6:$C$65)))-5),"")))</f>
        <v/>
      </c>
      <c r="H19" s="20">
        <f>IF($A19="","",IF($D19="空き",$B$5,IF(SUMIFS('案件台帳'!$F$6:$F$65,'案件台帳'!$C$6:$C$65,$A19,'案件台帳'!$E$6:$E$65,"&lt;="&amp;$B$5,'案件台帳'!$F$6:$F$65,"&gt;="&amp;$B$5)=0,"",SUMIFS('案件台帳'!$F$6:$F$65,'案件台帳'!$C$6:$C$65,$A19,'案件台帳'!$E$6:$E$65,"&lt;="&amp;$B$5,'案件台帳'!$F$6:$F$65,"&gt;="&amp;$B$5)+1)))</f>
        <v/>
      </c>
      <c r="I19" s="18">
        <f>IF(OR($A19="",$H19=""),"",MAX(0,$H19-$B$5))</f>
        <v/>
      </c>
      <c r="J19" s="18">
        <f>IF($A19="","",IFERROR(INDEX(職人ダッシュボード!$M$5:$M$14,MATCH($A19,職人ダッシュボード!$A$5:$A$14,0)),""))</f>
        <v/>
      </c>
      <c r="K19" s="18">
        <f>IF(OR($A19="",$E19=""),"",IF($E19&gt;0,IF(AND($D19="稼働中",ISNUMBER($I19),$I19&lt;=7),MAX(0,60-$I19*2),0),IF($F19&gt;0,70,100))+IF(ISNUMBER($J19),MIN(MAX($J19,0),30),0))</f>
        <v/>
      </c>
    </row>
    <row r="21">
      <c r="A21" s="25" t="inlineStr">
        <is>
          <t>判定の意味： ◎＝希望期間にほかの現場が1件も重ならない ／ ▲＝終了日が未入力の案件があり重なるか判定できない（台帳を埋めてから決める） ／ △＝待てば入れる（待ち日数7日以内） ／ ×＝期間が重複するので別の職人か日程変更が必要。</t>
        </is>
      </c>
    </row>
    <row r="22">
      <c r="A22" s="25" t="inlineStr">
        <is>
          <t>推奨スコア： ◎=100点／▲=70点／△=60−待ち日数×2点／×=0点。そこに「次の仕事までの空き日数」を最大30点まで加算（空きが長い職人ほど優先して埋める）。</t>
        </is>
      </c>
    </row>
    <row r="23">
      <c r="A23" s="25" t="inlineStr">
        <is>
          <t>使い方： 判定◎のなかで推奨順位1位＝いちばん手が空いている職人。ここに入れるのが段取り上いちばん無駄が少なくなります。</t>
        </is>
      </c>
    </row>
    <row r="24">
      <c r="A24" s="25" t="inlineStr">
        <is>
          <t>※ 職人の得意工種・現場までの距離・組み合わせの相性は数字に入っていません。最終判断は圭佑さんの現場感覚で。</t>
        </is>
      </c>
    </row>
  </sheetData>
  <conditionalFormatting sqref="C10:C19">
    <cfRule type="expression" priority="1" dxfId="5">
      <formula>$C10=1</formula>
    </cfRule>
  </conditionalFormatting>
  <conditionalFormatting sqref="A10:K19">
    <cfRule type="expression" priority="2" dxfId="2">
      <formula>LEFT($B10,1)="◎"</formula>
    </cfRule>
    <cfRule type="expression" priority="3" dxfId="4">
      <formula>LEFT($B10,1)="×"</formula>
    </cfRule>
    <cfRule type="expression" priority="4" dxfId="3">
      <formula>LEFT($B10,1)="▲"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  <col width="3.6" customWidth="1" min="46" max="46"/>
    <col width="3.6" customWidth="1" min="47" max="47"/>
    <col width="3.6" customWidth="1" min="48" max="48"/>
    <col width="3.6" customWidth="1" min="49" max="49"/>
    <col width="3.6" customWidth="1" min="50" max="50"/>
    <col width="3.6" customWidth="1" min="51" max="51"/>
    <col width="3.6" customWidth="1" min="52" max="52"/>
    <col width="3.6" customWidth="1" min="53" max="53"/>
    <col width="3.6" customWidth="1" min="54" max="54"/>
    <col width="3.6" customWidth="1" min="55" max="55"/>
    <col width="3.6" customWidth="1" min="56" max="56"/>
    <col width="3.6" customWidth="1" min="57" max="57"/>
    <col width="3.6" customWidth="1" min="58" max="58"/>
    <col width="3.6" customWidth="1" min="59" max="59"/>
    <col width="3.6" customWidth="1" min="60" max="60"/>
    <col width="3.6" customWidth="1" min="61" max="61"/>
    <col width="3.6" customWidth="1" min="62" max="62"/>
    <col width="3.6" customWidth="1" min="63" max="63"/>
    <col width="3.6" customWidth="1" min="64" max="64"/>
  </cols>
  <sheetData>
    <row r="1">
      <c r="A1" s="1" t="inlineStr">
        <is>
          <t>④ 稼働カレンダー（基準日から63日分）</t>
        </is>
      </c>
    </row>
    <row r="2">
      <c r="A2" s="7" t="inlineStr">
        <is>
          <t>■＝現場に入っている日／空白（黄色）＝空き。案件台帳の開始日〜終了予定日から自動で塗られます。</t>
        </is>
      </c>
    </row>
    <row r="4">
      <c r="A4" s="26" t="inlineStr">
        <is>
          <t>日付 →</t>
        </is>
      </c>
      <c r="B4" s="27">
        <f>'案件台帳'!$B$3</f>
        <v/>
      </c>
      <c r="C4" s="27">
        <f>B4+1</f>
        <v/>
      </c>
      <c r="D4" s="27">
        <f>C4+1</f>
        <v/>
      </c>
      <c r="E4" s="27">
        <f>D4+1</f>
        <v/>
      </c>
      <c r="F4" s="27">
        <f>E4+1</f>
        <v/>
      </c>
      <c r="G4" s="27">
        <f>F4+1</f>
        <v/>
      </c>
      <c r="H4" s="27">
        <f>G4+1</f>
        <v/>
      </c>
      <c r="I4" s="27">
        <f>H4+1</f>
        <v/>
      </c>
      <c r="J4" s="27">
        <f>I4+1</f>
        <v/>
      </c>
      <c r="K4" s="27">
        <f>J4+1</f>
        <v/>
      </c>
      <c r="L4" s="27">
        <f>K4+1</f>
        <v/>
      </c>
      <c r="M4" s="27">
        <f>L4+1</f>
        <v/>
      </c>
      <c r="N4" s="27">
        <f>M4+1</f>
        <v/>
      </c>
      <c r="O4" s="27">
        <f>N4+1</f>
        <v/>
      </c>
      <c r="P4" s="27">
        <f>O4+1</f>
        <v/>
      </c>
      <c r="Q4" s="27">
        <f>P4+1</f>
        <v/>
      </c>
      <c r="R4" s="27">
        <f>Q4+1</f>
        <v/>
      </c>
      <c r="S4" s="27">
        <f>R4+1</f>
        <v/>
      </c>
      <c r="T4" s="27">
        <f>S4+1</f>
        <v/>
      </c>
      <c r="U4" s="27">
        <f>T4+1</f>
        <v/>
      </c>
      <c r="V4" s="27">
        <f>U4+1</f>
        <v/>
      </c>
      <c r="W4" s="27">
        <f>V4+1</f>
        <v/>
      </c>
      <c r="X4" s="27">
        <f>W4+1</f>
        <v/>
      </c>
      <c r="Y4" s="27">
        <f>X4+1</f>
        <v/>
      </c>
      <c r="Z4" s="27">
        <f>Y4+1</f>
        <v/>
      </c>
      <c r="AA4" s="27">
        <f>Z4+1</f>
        <v/>
      </c>
      <c r="AB4" s="27">
        <f>AA4+1</f>
        <v/>
      </c>
      <c r="AC4" s="27">
        <f>AB4+1</f>
        <v/>
      </c>
      <c r="AD4" s="27">
        <f>AC4+1</f>
        <v/>
      </c>
      <c r="AE4" s="27">
        <f>AD4+1</f>
        <v/>
      </c>
      <c r="AF4" s="27">
        <f>AE4+1</f>
        <v/>
      </c>
      <c r="AG4" s="27">
        <f>AF4+1</f>
        <v/>
      </c>
      <c r="AH4" s="27">
        <f>AG4+1</f>
        <v/>
      </c>
      <c r="AI4" s="27">
        <f>AH4+1</f>
        <v/>
      </c>
      <c r="AJ4" s="27">
        <f>AI4+1</f>
        <v/>
      </c>
      <c r="AK4" s="27">
        <f>AJ4+1</f>
        <v/>
      </c>
      <c r="AL4" s="27">
        <f>AK4+1</f>
        <v/>
      </c>
      <c r="AM4" s="27">
        <f>AL4+1</f>
        <v/>
      </c>
      <c r="AN4" s="27">
        <f>AM4+1</f>
        <v/>
      </c>
      <c r="AO4" s="27">
        <f>AN4+1</f>
        <v/>
      </c>
      <c r="AP4" s="27">
        <f>AO4+1</f>
        <v/>
      </c>
      <c r="AQ4" s="27">
        <f>AP4+1</f>
        <v/>
      </c>
      <c r="AR4" s="27">
        <f>AQ4+1</f>
        <v/>
      </c>
      <c r="AS4" s="27">
        <f>AR4+1</f>
        <v/>
      </c>
      <c r="AT4" s="27">
        <f>AS4+1</f>
        <v/>
      </c>
      <c r="AU4" s="27">
        <f>AT4+1</f>
        <v/>
      </c>
      <c r="AV4" s="27">
        <f>AU4+1</f>
        <v/>
      </c>
      <c r="AW4" s="27">
        <f>AV4+1</f>
        <v/>
      </c>
      <c r="AX4" s="27">
        <f>AW4+1</f>
        <v/>
      </c>
      <c r="AY4" s="27">
        <f>AX4+1</f>
        <v/>
      </c>
      <c r="AZ4" s="27">
        <f>AY4+1</f>
        <v/>
      </c>
      <c r="BA4" s="27">
        <f>AZ4+1</f>
        <v/>
      </c>
      <c r="BB4" s="27">
        <f>BA4+1</f>
        <v/>
      </c>
      <c r="BC4" s="27">
        <f>BB4+1</f>
        <v/>
      </c>
      <c r="BD4" s="27">
        <f>BC4+1</f>
        <v/>
      </c>
      <c r="BE4" s="27">
        <f>BD4+1</f>
        <v/>
      </c>
      <c r="BF4" s="27">
        <f>BE4+1</f>
        <v/>
      </c>
      <c r="BG4" s="27">
        <f>BF4+1</f>
        <v/>
      </c>
      <c r="BH4" s="27">
        <f>BG4+1</f>
        <v/>
      </c>
      <c r="BI4" s="27">
        <f>BH4+1</f>
        <v/>
      </c>
      <c r="BJ4" s="27">
        <f>BI4+1</f>
        <v/>
      </c>
      <c r="BK4" s="27">
        <f>BJ4+1</f>
        <v/>
      </c>
      <c r="BL4" s="27">
        <f>BK4+1</f>
        <v/>
      </c>
    </row>
    <row r="5">
      <c r="A5" s="26" t="inlineStr">
        <is>
          <t>曜日</t>
        </is>
      </c>
      <c r="B5" s="28">
        <f>CHOOSE(WEEKDAY(B$4),"日","月","火","水","木","金","土")</f>
        <v/>
      </c>
      <c r="C5" s="28">
        <f>CHOOSE(WEEKDAY(C$4),"日","月","火","水","木","金","土")</f>
        <v/>
      </c>
      <c r="D5" s="28">
        <f>CHOOSE(WEEKDAY(D$4),"日","月","火","水","木","金","土")</f>
        <v/>
      </c>
      <c r="E5" s="28">
        <f>CHOOSE(WEEKDAY(E$4),"日","月","火","水","木","金","土")</f>
        <v/>
      </c>
      <c r="F5" s="28">
        <f>CHOOSE(WEEKDAY(F$4),"日","月","火","水","木","金","土")</f>
        <v/>
      </c>
      <c r="G5" s="28">
        <f>CHOOSE(WEEKDAY(G$4),"日","月","火","水","木","金","土")</f>
        <v/>
      </c>
      <c r="H5" s="28">
        <f>CHOOSE(WEEKDAY(H$4),"日","月","火","水","木","金","土")</f>
        <v/>
      </c>
      <c r="I5" s="28">
        <f>CHOOSE(WEEKDAY(I$4),"日","月","火","水","木","金","土")</f>
        <v/>
      </c>
      <c r="J5" s="28">
        <f>CHOOSE(WEEKDAY(J$4),"日","月","火","水","木","金","土")</f>
        <v/>
      </c>
      <c r="K5" s="28">
        <f>CHOOSE(WEEKDAY(K$4),"日","月","火","水","木","金","土")</f>
        <v/>
      </c>
      <c r="L5" s="28">
        <f>CHOOSE(WEEKDAY(L$4),"日","月","火","水","木","金","土")</f>
        <v/>
      </c>
      <c r="M5" s="28">
        <f>CHOOSE(WEEKDAY(M$4),"日","月","火","水","木","金","土")</f>
        <v/>
      </c>
      <c r="N5" s="28">
        <f>CHOOSE(WEEKDAY(N$4),"日","月","火","水","木","金","土")</f>
        <v/>
      </c>
      <c r="O5" s="28">
        <f>CHOOSE(WEEKDAY(O$4),"日","月","火","水","木","金","土")</f>
        <v/>
      </c>
      <c r="P5" s="28">
        <f>CHOOSE(WEEKDAY(P$4),"日","月","火","水","木","金","土")</f>
        <v/>
      </c>
      <c r="Q5" s="28">
        <f>CHOOSE(WEEKDAY(Q$4),"日","月","火","水","木","金","土")</f>
        <v/>
      </c>
      <c r="R5" s="28">
        <f>CHOOSE(WEEKDAY(R$4),"日","月","火","水","木","金","土")</f>
        <v/>
      </c>
      <c r="S5" s="28">
        <f>CHOOSE(WEEKDAY(S$4),"日","月","火","水","木","金","土")</f>
        <v/>
      </c>
      <c r="T5" s="28">
        <f>CHOOSE(WEEKDAY(T$4),"日","月","火","水","木","金","土")</f>
        <v/>
      </c>
      <c r="U5" s="28">
        <f>CHOOSE(WEEKDAY(U$4),"日","月","火","水","木","金","土")</f>
        <v/>
      </c>
      <c r="V5" s="28">
        <f>CHOOSE(WEEKDAY(V$4),"日","月","火","水","木","金","土")</f>
        <v/>
      </c>
      <c r="W5" s="28">
        <f>CHOOSE(WEEKDAY(W$4),"日","月","火","水","木","金","土")</f>
        <v/>
      </c>
      <c r="X5" s="28">
        <f>CHOOSE(WEEKDAY(X$4),"日","月","火","水","木","金","土")</f>
        <v/>
      </c>
      <c r="Y5" s="28">
        <f>CHOOSE(WEEKDAY(Y$4),"日","月","火","水","木","金","土")</f>
        <v/>
      </c>
      <c r="Z5" s="28">
        <f>CHOOSE(WEEKDAY(Z$4),"日","月","火","水","木","金","土")</f>
        <v/>
      </c>
      <c r="AA5" s="28">
        <f>CHOOSE(WEEKDAY(AA$4),"日","月","火","水","木","金","土")</f>
        <v/>
      </c>
      <c r="AB5" s="28">
        <f>CHOOSE(WEEKDAY(AB$4),"日","月","火","水","木","金","土")</f>
        <v/>
      </c>
      <c r="AC5" s="28">
        <f>CHOOSE(WEEKDAY(AC$4),"日","月","火","水","木","金","土")</f>
        <v/>
      </c>
      <c r="AD5" s="28">
        <f>CHOOSE(WEEKDAY(AD$4),"日","月","火","水","木","金","土")</f>
        <v/>
      </c>
      <c r="AE5" s="28">
        <f>CHOOSE(WEEKDAY(AE$4),"日","月","火","水","木","金","土")</f>
        <v/>
      </c>
      <c r="AF5" s="28">
        <f>CHOOSE(WEEKDAY(AF$4),"日","月","火","水","木","金","土")</f>
        <v/>
      </c>
      <c r="AG5" s="28">
        <f>CHOOSE(WEEKDAY(AG$4),"日","月","火","水","木","金","土")</f>
        <v/>
      </c>
      <c r="AH5" s="28">
        <f>CHOOSE(WEEKDAY(AH$4),"日","月","火","水","木","金","土")</f>
        <v/>
      </c>
      <c r="AI5" s="28">
        <f>CHOOSE(WEEKDAY(AI$4),"日","月","火","水","木","金","土")</f>
        <v/>
      </c>
      <c r="AJ5" s="28">
        <f>CHOOSE(WEEKDAY(AJ$4),"日","月","火","水","木","金","土")</f>
        <v/>
      </c>
      <c r="AK5" s="28">
        <f>CHOOSE(WEEKDAY(AK$4),"日","月","火","水","木","金","土")</f>
        <v/>
      </c>
      <c r="AL5" s="28">
        <f>CHOOSE(WEEKDAY(AL$4),"日","月","火","水","木","金","土")</f>
        <v/>
      </c>
      <c r="AM5" s="28">
        <f>CHOOSE(WEEKDAY(AM$4),"日","月","火","水","木","金","土")</f>
        <v/>
      </c>
      <c r="AN5" s="28">
        <f>CHOOSE(WEEKDAY(AN$4),"日","月","火","水","木","金","土")</f>
        <v/>
      </c>
      <c r="AO5" s="28">
        <f>CHOOSE(WEEKDAY(AO$4),"日","月","火","水","木","金","土")</f>
        <v/>
      </c>
      <c r="AP5" s="28">
        <f>CHOOSE(WEEKDAY(AP$4),"日","月","火","水","木","金","土")</f>
        <v/>
      </c>
      <c r="AQ5" s="28">
        <f>CHOOSE(WEEKDAY(AQ$4),"日","月","火","水","木","金","土")</f>
        <v/>
      </c>
      <c r="AR5" s="28">
        <f>CHOOSE(WEEKDAY(AR$4),"日","月","火","水","木","金","土")</f>
        <v/>
      </c>
      <c r="AS5" s="28">
        <f>CHOOSE(WEEKDAY(AS$4),"日","月","火","水","木","金","土")</f>
        <v/>
      </c>
      <c r="AT5" s="28">
        <f>CHOOSE(WEEKDAY(AT$4),"日","月","火","水","木","金","土")</f>
        <v/>
      </c>
      <c r="AU5" s="28">
        <f>CHOOSE(WEEKDAY(AU$4),"日","月","火","水","木","金","土")</f>
        <v/>
      </c>
      <c r="AV5" s="28">
        <f>CHOOSE(WEEKDAY(AV$4),"日","月","火","水","木","金","土")</f>
        <v/>
      </c>
      <c r="AW5" s="28">
        <f>CHOOSE(WEEKDAY(AW$4),"日","月","火","水","木","金","土")</f>
        <v/>
      </c>
      <c r="AX5" s="28">
        <f>CHOOSE(WEEKDAY(AX$4),"日","月","火","水","木","金","土")</f>
        <v/>
      </c>
      <c r="AY5" s="28">
        <f>CHOOSE(WEEKDAY(AY$4),"日","月","火","水","木","金","土")</f>
        <v/>
      </c>
      <c r="AZ5" s="28">
        <f>CHOOSE(WEEKDAY(AZ$4),"日","月","火","水","木","金","土")</f>
        <v/>
      </c>
      <c r="BA5" s="28">
        <f>CHOOSE(WEEKDAY(BA$4),"日","月","火","水","木","金","土")</f>
        <v/>
      </c>
      <c r="BB5" s="28">
        <f>CHOOSE(WEEKDAY(BB$4),"日","月","火","水","木","金","土")</f>
        <v/>
      </c>
      <c r="BC5" s="28">
        <f>CHOOSE(WEEKDAY(BC$4),"日","月","火","水","木","金","土")</f>
        <v/>
      </c>
      <c r="BD5" s="28">
        <f>CHOOSE(WEEKDAY(BD$4),"日","月","火","水","木","金","土")</f>
        <v/>
      </c>
      <c r="BE5" s="28">
        <f>CHOOSE(WEEKDAY(BE$4),"日","月","火","水","木","金","土")</f>
        <v/>
      </c>
      <c r="BF5" s="28">
        <f>CHOOSE(WEEKDAY(BF$4),"日","月","火","水","木","金","土")</f>
        <v/>
      </c>
      <c r="BG5" s="28">
        <f>CHOOSE(WEEKDAY(BG$4),"日","月","火","水","木","金","土")</f>
        <v/>
      </c>
      <c r="BH5" s="28">
        <f>CHOOSE(WEEKDAY(BH$4),"日","月","火","水","木","金","土")</f>
        <v/>
      </c>
      <c r="BI5" s="28">
        <f>CHOOSE(WEEKDAY(BI$4),"日","月","火","水","木","金","土")</f>
        <v/>
      </c>
      <c r="BJ5" s="28">
        <f>CHOOSE(WEEKDAY(BJ$4),"日","月","火","水","木","金","土")</f>
        <v/>
      </c>
      <c r="BK5" s="28">
        <f>CHOOSE(WEEKDAY(BK$4),"日","月","火","水","木","金","土")</f>
        <v/>
      </c>
      <c r="BL5" s="28">
        <f>CHOOSE(WEEKDAY(BL$4),"日","月","火","水","木","金","土")</f>
        <v/>
      </c>
    </row>
    <row r="6">
      <c r="A6" s="24">
        <f>IF(職人ダッシュボード!$A$5="","",職人ダッシュボード!$A$5)</f>
        <v/>
      </c>
      <c r="B6" s="29">
        <f>IF($A6="","",IF(COUNTIFS('案件台帳'!$C$6:$C$65,$A6,'案件台帳'!$E$6:$E$65,"&lt;="&amp;B$4,'案件台帳'!$F$6:$F$65,"&gt;="&amp;B$4)+COUNTIFS('案件台帳'!$C$6:$C$65,$A6,'案件台帳'!$E$6:$E$65,"",'案件台帳'!$F$6:$F$65,"&gt;="&amp;B$4)&gt;0,"■",""))</f>
        <v/>
      </c>
      <c r="C6" s="29">
        <f>IF($A6="","",IF(COUNTIFS('案件台帳'!$C$6:$C$65,$A6,'案件台帳'!$E$6:$E$65,"&lt;="&amp;C$4,'案件台帳'!$F$6:$F$65,"&gt;="&amp;C$4)+COUNTIFS('案件台帳'!$C$6:$C$65,$A6,'案件台帳'!$E$6:$E$65,"",'案件台帳'!$F$6:$F$65,"&gt;="&amp;C$4)&gt;0,"■",""))</f>
        <v/>
      </c>
      <c r="D6" s="29">
        <f>IF($A6="","",IF(COUNTIFS('案件台帳'!$C$6:$C$65,$A6,'案件台帳'!$E$6:$E$65,"&lt;="&amp;D$4,'案件台帳'!$F$6:$F$65,"&gt;="&amp;D$4)+COUNTIFS('案件台帳'!$C$6:$C$65,$A6,'案件台帳'!$E$6:$E$65,"",'案件台帳'!$F$6:$F$65,"&gt;="&amp;D$4)&gt;0,"■",""))</f>
        <v/>
      </c>
      <c r="E6" s="29">
        <f>IF($A6="","",IF(COUNTIFS('案件台帳'!$C$6:$C$65,$A6,'案件台帳'!$E$6:$E$65,"&lt;="&amp;E$4,'案件台帳'!$F$6:$F$65,"&gt;="&amp;E$4)+COUNTIFS('案件台帳'!$C$6:$C$65,$A6,'案件台帳'!$E$6:$E$65,"",'案件台帳'!$F$6:$F$65,"&gt;="&amp;E$4)&gt;0,"■",""))</f>
        <v/>
      </c>
      <c r="F6" s="29">
        <f>IF($A6="","",IF(COUNTIFS('案件台帳'!$C$6:$C$65,$A6,'案件台帳'!$E$6:$E$65,"&lt;="&amp;F$4,'案件台帳'!$F$6:$F$65,"&gt;="&amp;F$4)+COUNTIFS('案件台帳'!$C$6:$C$65,$A6,'案件台帳'!$E$6:$E$65,"",'案件台帳'!$F$6:$F$65,"&gt;="&amp;F$4)&gt;0,"■",""))</f>
        <v/>
      </c>
      <c r="G6" s="29">
        <f>IF($A6="","",IF(COUNTIFS('案件台帳'!$C$6:$C$65,$A6,'案件台帳'!$E$6:$E$65,"&lt;="&amp;G$4,'案件台帳'!$F$6:$F$65,"&gt;="&amp;G$4)+COUNTIFS('案件台帳'!$C$6:$C$65,$A6,'案件台帳'!$E$6:$E$65,"",'案件台帳'!$F$6:$F$65,"&gt;="&amp;G$4)&gt;0,"■",""))</f>
        <v/>
      </c>
      <c r="H6" s="29">
        <f>IF($A6="","",IF(COUNTIFS('案件台帳'!$C$6:$C$65,$A6,'案件台帳'!$E$6:$E$65,"&lt;="&amp;H$4,'案件台帳'!$F$6:$F$65,"&gt;="&amp;H$4)+COUNTIFS('案件台帳'!$C$6:$C$65,$A6,'案件台帳'!$E$6:$E$65,"",'案件台帳'!$F$6:$F$65,"&gt;="&amp;H$4)&gt;0,"■",""))</f>
        <v/>
      </c>
      <c r="I6" s="29">
        <f>IF($A6="","",IF(COUNTIFS('案件台帳'!$C$6:$C$65,$A6,'案件台帳'!$E$6:$E$65,"&lt;="&amp;I$4,'案件台帳'!$F$6:$F$65,"&gt;="&amp;I$4)+COUNTIFS('案件台帳'!$C$6:$C$65,$A6,'案件台帳'!$E$6:$E$65,"",'案件台帳'!$F$6:$F$65,"&gt;="&amp;I$4)&gt;0,"■",""))</f>
        <v/>
      </c>
      <c r="J6" s="29">
        <f>IF($A6="","",IF(COUNTIFS('案件台帳'!$C$6:$C$65,$A6,'案件台帳'!$E$6:$E$65,"&lt;="&amp;J$4,'案件台帳'!$F$6:$F$65,"&gt;="&amp;J$4)+COUNTIFS('案件台帳'!$C$6:$C$65,$A6,'案件台帳'!$E$6:$E$65,"",'案件台帳'!$F$6:$F$65,"&gt;="&amp;J$4)&gt;0,"■",""))</f>
        <v/>
      </c>
      <c r="K6" s="29">
        <f>IF($A6="","",IF(COUNTIFS('案件台帳'!$C$6:$C$65,$A6,'案件台帳'!$E$6:$E$65,"&lt;="&amp;K$4,'案件台帳'!$F$6:$F$65,"&gt;="&amp;K$4)+COUNTIFS('案件台帳'!$C$6:$C$65,$A6,'案件台帳'!$E$6:$E$65,"",'案件台帳'!$F$6:$F$65,"&gt;="&amp;K$4)&gt;0,"■",""))</f>
        <v/>
      </c>
      <c r="L6" s="29">
        <f>IF($A6="","",IF(COUNTIFS('案件台帳'!$C$6:$C$65,$A6,'案件台帳'!$E$6:$E$65,"&lt;="&amp;L$4,'案件台帳'!$F$6:$F$65,"&gt;="&amp;L$4)+COUNTIFS('案件台帳'!$C$6:$C$65,$A6,'案件台帳'!$E$6:$E$65,"",'案件台帳'!$F$6:$F$65,"&gt;="&amp;L$4)&gt;0,"■",""))</f>
        <v/>
      </c>
      <c r="M6" s="29">
        <f>IF($A6="","",IF(COUNTIFS('案件台帳'!$C$6:$C$65,$A6,'案件台帳'!$E$6:$E$65,"&lt;="&amp;M$4,'案件台帳'!$F$6:$F$65,"&gt;="&amp;M$4)+COUNTIFS('案件台帳'!$C$6:$C$65,$A6,'案件台帳'!$E$6:$E$65,"",'案件台帳'!$F$6:$F$65,"&gt;="&amp;M$4)&gt;0,"■",""))</f>
        <v/>
      </c>
      <c r="N6" s="29">
        <f>IF($A6="","",IF(COUNTIFS('案件台帳'!$C$6:$C$65,$A6,'案件台帳'!$E$6:$E$65,"&lt;="&amp;N$4,'案件台帳'!$F$6:$F$65,"&gt;="&amp;N$4)+COUNTIFS('案件台帳'!$C$6:$C$65,$A6,'案件台帳'!$E$6:$E$65,"",'案件台帳'!$F$6:$F$65,"&gt;="&amp;N$4)&gt;0,"■",""))</f>
        <v/>
      </c>
      <c r="O6" s="29">
        <f>IF($A6="","",IF(COUNTIFS('案件台帳'!$C$6:$C$65,$A6,'案件台帳'!$E$6:$E$65,"&lt;="&amp;O$4,'案件台帳'!$F$6:$F$65,"&gt;="&amp;O$4)+COUNTIFS('案件台帳'!$C$6:$C$65,$A6,'案件台帳'!$E$6:$E$65,"",'案件台帳'!$F$6:$F$65,"&gt;="&amp;O$4)&gt;0,"■",""))</f>
        <v/>
      </c>
      <c r="P6" s="29">
        <f>IF($A6="","",IF(COUNTIFS('案件台帳'!$C$6:$C$65,$A6,'案件台帳'!$E$6:$E$65,"&lt;="&amp;P$4,'案件台帳'!$F$6:$F$65,"&gt;="&amp;P$4)+COUNTIFS('案件台帳'!$C$6:$C$65,$A6,'案件台帳'!$E$6:$E$65,"",'案件台帳'!$F$6:$F$65,"&gt;="&amp;P$4)&gt;0,"■",""))</f>
        <v/>
      </c>
      <c r="Q6" s="29">
        <f>IF($A6="","",IF(COUNTIFS('案件台帳'!$C$6:$C$65,$A6,'案件台帳'!$E$6:$E$65,"&lt;="&amp;Q$4,'案件台帳'!$F$6:$F$65,"&gt;="&amp;Q$4)+COUNTIFS('案件台帳'!$C$6:$C$65,$A6,'案件台帳'!$E$6:$E$65,"",'案件台帳'!$F$6:$F$65,"&gt;="&amp;Q$4)&gt;0,"■",""))</f>
        <v/>
      </c>
      <c r="R6" s="29">
        <f>IF($A6="","",IF(COUNTIFS('案件台帳'!$C$6:$C$65,$A6,'案件台帳'!$E$6:$E$65,"&lt;="&amp;R$4,'案件台帳'!$F$6:$F$65,"&gt;="&amp;R$4)+COUNTIFS('案件台帳'!$C$6:$C$65,$A6,'案件台帳'!$E$6:$E$65,"",'案件台帳'!$F$6:$F$65,"&gt;="&amp;R$4)&gt;0,"■",""))</f>
        <v/>
      </c>
      <c r="S6" s="29">
        <f>IF($A6="","",IF(COUNTIFS('案件台帳'!$C$6:$C$65,$A6,'案件台帳'!$E$6:$E$65,"&lt;="&amp;S$4,'案件台帳'!$F$6:$F$65,"&gt;="&amp;S$4)+COUNTIFS('案件台帳'!$C$6:$C$65,$A6,'案件台帳'!$E$6:$E$65,"",'案件台帳'!$F$6:$F$65,"&gt;="&amp;S$4)&gt;0,"■",""))</f>
        <v/>
      </c>
      <c r="T6" s="29">
        <f>IF($A6="","",IF(COUNTIFS('案件台帳'!$C$6:$C$65,$A6,'案件台帳'!$E$6:$E$65,"&lt;="&amp;T$4,'案件台帳'!$F$6:$F$65,"&gt;="&amp;T$4)+COUNTIFS('案件台帳'!$C$6:$C$65,$A6,'案件台帳'!$E$6:$E$65,"",'案件台帳'!$F$6:$F$65,"&gt;="&amp;T$4)&gt;0,"■",""))</f>
        <v/>
      </c>
      <c r="U6" s="29">
        <f>IF($A6="","",IF(COUNTIFS('案件台帳'!$C$6:$C$65,$A6,'案件台帳'!$E$6:$E$65,"&lt;="&amp;U$4,'案件台帳'!$F$6:$F$65,"&gt;="&amp;U$4)+COUNTIFS('案件台帳'!$C$6:$C$65,$A6,'案件台帳'!$E$6:$E$65,"",'案件台帳'!$F$6:$F$65,"&gt;="&amp;U$4)&gt;0,"■",""))</f>
        <v/>
      </c>
      <c r="V6" s="29">
        <f>IF($A6="","",IF(COUNTIFS('案件台帳'!$C$6:$C$65,$A6,'案件台帳'!$E$6:$E$65,"&lt;="&amp;V$4,'案件台帳'!$F$6:$F$65,"&gt;="&amp;V$4)+COUNTIFS('案件台帳'!$C$6:$C$65,$A6,'案件台帳'!$E$6:$E$65,"",'案件台帳'!$F$6:$F$65,"&gt;="&amp;V$4)&gt;0,"■",""))</f>
        <v/>
      </c>
      <c r="W6" s="29">
        <f>IF($A6="","",IF(COUNTIFS('案件台帳'!$C$6:$C$65,$A6,'案件台帳'!$E$6:$E$65,"&lt;="&amp;W$4,'案件台帳'!$F$6:$F$65,"&gt;="&amp;W$4)+COUNTIFS('案件台帳'!$C$6:$C$65,$A6,'案件台帳'!$E$6:$E$65,"",'案件台帳'!$F$6:$F$65,"&gt;="&amp;W$4)&gt;0,"■",""))</f>
        <v/>
      </c>
      <c r="X6" s="29">
        <f>IF($A6="","",IF(COUNTIFS('案件台帳'!$C$6:$C$65,$A6,'案件台帳'!$E$6:$E$65,"&lt;="&amp;X$4,'案件台帳'!$F$6:$F$65,"&gt;="&amp;X$4)+COUNTIFS('案件台帳'!$C$6:$C$65,$A6,'案件台帳'!$E$6:$E$65,"",'案件台帳'!$F$6:$F$65,"&gt;="&amp;X$4)&gt;0,"■",""))</f>
        <v/>
      </c>
      <c r="Y6" s="29">
        <f>IF($A6="","",IF(COUNTIFS('案件台帳'!$C$6:$C$65,$A6,'案件台帳'!$E$6:$E$65,"&lt;="&amp;Y$4,'案件台帳'!$F$6:$F$65,"&gt;="&amp;Y$4)+COUNTIFS('案件台帳'!$C$6:$C$65,$A6,'案件台帳'!$E$6:$E$65,"",'案件台帳'!$F$6:$F$65,"&gt;="&amp;Y$4)&gt;0,"■",""))</f>
        <v/>
      </c>
      <c r="Z6" s="29">
        <f>IF($A6="","",IF(COUNTIFS('案件台帳'!$C$6:$C$65,$A6,'案件台帳'!$E$6:$E$65,"&lt;="&amp;Z$4,'案件台帳'!$F$6:$F$65,"&gt;="&amp;Z$4)+COUNTIFS('案件台帳'!$C$6:$C$65,$A6,'案件台帳'!$E$6:$E$65,"",'案件台帳'!$F$6:$F$65,"&gt;="&amp;Z$4)&gt;0,"■",""))</f>
        <v/>
      </c>
      <c r="AA6" s="29">
        <f>IF($A6="","",IF(COUNTIFS('案件台帳'!$C$6:$C$65,$A6,'案件台帳'!$E$6:$E$65,"&lt;="&amp;AA$4,'案件台帳'!$F$6:$F$65,"&gt;="&amp;AA$4)+COUNTIFS('案件台帳'!$C$6:$C$65,$A6,'案件台帳'!$E$6:$E$65,"",'案件台帳'!$F$6:$F$65,"&gt;="&amp;AA$4)&gt;0,"■",""))</f>
        <v/>
      </c>
      <c r="AB6" s="29">
        <f>IF($A6="","",IF(COUNTIFS('案件台帳'!$C$6:$C$65,$A6,'案件台帳'!$E$6:$E$65,"&lt;="&amp;AB$4,'案件台帳'!$F$6:$F$65,"&gt;="&amp;AB$4)+COUNTIFS('案件台帳'!$C$6:$C$65,$A6,'案件台帳'!$E$6:$E$65,"",'案件台帳'!$F$6:$F$65,"&gt;="&amp;AB$4)&gt;0,"■",""))</f>
        <v/>
      </c>
      <c r="AC6" s="29">
        <f>IF($A6="","",IF(COUNTIFS('案件台帳'!$C$6:$C$65,$A6,'案件台帳'!$E$6:$E$65,"&lt;="&amp;AC$4,'案件台帳'!$F$6:$F$65,"&gt;="&amp;AC$4)+COUNTIFS('案件台帳'!$C$6:$C$65,$A6,'案件台帳'!$E$6:$E$65,"",'案件台帳'!$F$6:$F$65,"&gt;="&amp;AC$4)&gt;0,"■",""))</f>
        <v/>
      </c>
      <c r="AD6" s="29">
        <f>IF($A6="","",IF(COUNTIFS('案件台帳'!$C$6:$C$65,$A6,'案件台帳'!$E$6:$E$65,"&lt;="&amp;AD$4,'案件台帳'!$F$6:$F$65,"&gt;="&amp;AD$4)+COUNTIFS('案件台帳'!$C$6:$C$65,$A6,'案件台帳'!$E$6:$E$65,"",'案件台帳'!$F$6:$F$65,"&gt;="&amp;AD$4)&gt;0,"■",""))</f>
        <v/>
      </c>
      <c r="AE6" s="29">
        <f>IF($A6="","",IF(COUNTIFS('案件台帳'!$C$6:$C$65,$A6,'案件台帳'!$E$6:$E$65,"&lt;="&amp;AE$4,'案件台帳'!$F$6:$F$65,"&gt;="&amp;AE$4)+COUNTIFS('案件台帳'!$C$6:$C$65,$A6,'案件台帳'!$E$6:$E$65,"",'案件台帳'!$F$6:$F$65,"&gt;="&amp;AE$4)&gt;0,"■",""))</f>
        <v/>
      </c>
      <c r="AF6" s="29">
        <f>IF($A6="","",IF(COUNTIFS('案件台帳'!$C$6:$C$65,$A6,'案件台帳'!$E$6:$E$65,"&lt;="&amp;AF$4,'案件台帳'!$F$6:$F$65,"&gt;="&amp;AF$4)+COUNTIFS('案件台帳'!$C$6:$C$65,$A6,'案件台帳'!$E$6:$E$65,"",'案件台帳'!$F$6:$F$65,"&gt;="&amp;AF$4)&gt;0,"■",""))</f>
        <v/>
      </c>
      <c r="AG6" s="29">
        <f>IF($A6="","",IF(COUNTIFS('案件台帳'!$C$6:$C$65,$A6,'案件台帳'!$E$6:$E$65,"&lt;="&amp;AG$4,'案件台帳'!$F$6:$F$65,"&gt;="&amp;AG$4)+COUNTIFS('案件台帳'!$C$6:$C$65,$A6,'案件台帳'!$E$6:$E$65,"",'案件台帳'!$F$6:$F$65,"&gt;="&amp;AG$4)&gt;0,"■",""))</f>
        <v/>
      </c>
      <c r="AH6" s="29">
        <f>IF($A6="","",IF(COUNTIFS('案件台帳'!$C$6:$C$65,$A6,'案件台帳'!$E$6:$E$65,"&lt;="&amp;AH$4,'案件台帳'!$F$6:$F$65,"&gt;="&amp;AH$4)+COUNTIFS('案件台帳'!$C$6:$C$65,$A6,'案件台帳'!$E$6:$E$65,"",'案件台帳'!$F$6:$F$65,"&gt;="&amp;AH$4)&gt;0,"■",""))</f>
        <v/>
      </c>
      <c r="AI6" s="29">
        <f>IF($A6="","",IF(COUNTIFS('案件台帳'!$C$6:$C$65,$A6,'案件台帳'!$E$6:$E$65,"&lt;="&amp;AI$4,'案件台帳'!$F$6:$F$65,"&gt;="&amp;AI$4)+COUNTIFS('案件台帳'!$C$6:$C$65,$A6,'案件台帳'!$E$6:$E$65,"",'案件台帳'!$F$6:$F$65,"&gt;="&amp;AI$4)&gt;0,"■",""))</f>
        <v/>
      </c>
      <c r="AJ6" s="29">
        <f>IF($A6="","",IF(COUNTIFS('案件台帳'!$C$6:$C$65,$A6,'案件台帳'!$E$6:$E$65,"&lt;="&amp;AJ$4,'案件台帳'!$F$6:$F$65,"&gt;="&amp;AJ$4)+COUNTIFS('案件台帳'!$C$6:$C$65,$A6,'案件台帳'!$E$6:$E$65,"",'案件台帳'!$F$6:$F$65,"&gt;="&amp;AJ$4)&gt;0,"■",""))</f>
        <v/>
      </c>
      <c r="AK6" s="29">
        <f>IF($A6="","",IF(COUNTIFS('案件台帳'!$C$6:$C$65,$A6,'案件台帳'!$E$6:$E$65,"&lt;="&amp;AK$4,'案件台帳'!$F$6:$F$65,"&gt;="&amp;AK$4)+COUNTIFS('案件台帳'!$C$6:$C$65,$A6,'案件台帳'!$E$6:$E$65,"",'案件台帳'!$F$6:$F$65,"&gt;="&amp;AK$4)&gt;0,"■",""))</f>
        <v/>
      </c>
      <c r="AL6" s="29">
        <f>IF($A6="","",IF(COUNTIFS('案件台帳'!$C$6:$C$65,$A6,'案件台帳'!$E$6:$E$65,"&lt;="&amp;AL$4,'案件台帳'!$F$6:$F$65,"&gt;="&amp;AL$4)+COUNTIFS('案件台帳'!$C$6:$C$65,$A6,'案件台帳'!$E$6:$E$65,"",'案件台帳'!$F$6:$F$65,"&gt;="&amp;AL$4)&gt;0,"■",""))</f>
        <v/>
      </c>
      <c r="AM6" s="29">
        <f>IF($A6="","",IF(COUNTIFS('案件台帳'!$C$6:$C$65,$A6,'案件台帳'!$E$6:$E$65,"&lt;="&amp;AM$4,'案件台帳'!$F$6:$F$65,"&gt;="&amp;AM$4)+COUNTIFS('案件台帳'!$C$6:$C$65,$A6,'案件台帳'!$E$6:$E$65,"",'案件台帳'!$F$6:$F$65,"&gt;="&amp;AM$4)&gt;0,"■",""))</f>
        <v/>
      </c>
      <c r="AN6" s="29">
        <f>IF($A6="","",IF(COUNTIFS('案件台帳'!$C$6:$C$65,$A6,'案件台帳'!$E$6:$E$65,"&lt;="&amp;AN$4,'案件台帳'!$F$6:$F$65,"&gt;="&amp;AN$4)+COUNTIFS('案件台帳'!$C$6:$C$65,$A6,'案件台帳'!$E$6:$E$65,"",'案件台帳'!$F$6:$F$65,"&gt;="&amp;AN$4)&gt;0,"■",""))</f>
        <v/>
      </c>
      <c r="AO6" s="29">
        <f>IF($A6="","",IF(COUNTIFS('案件台帳'!$C$6:$C$65,$A6,'案件台帳'!$E$6:$E$65,"&lt;="&amp;AO$4,'案件台帳'!$F$6:$F$65,"&gt;="&amp;AO$4)+COUNTIFS('案件台帳'!$C$6:$C$65,$A6,'案件台帳'!$E$6:$E$65,"",'案件台帳'!$F$6:$F$65,"&gt;="&amp;AO$4)&gt;0,"■",""))</f>
        <v/>
      </c>
      <c r="AP6" s="29">
        <f>IF($A6="","",IF(COUNTIFS('案件台帳'!$C$6:$C$65,$A6,'案件台帳'!$E$6:$E$65,"&lt;="&amp;AP$4,'案件台帳'!$F$6:$F$65,"&gt;="&amp;AP$4)+COUNTIFS('案件台帳'!$C$6:$C$65,$A6,'案件台帳'!$E$6:$E$65,"",'案件台帳'!$F$6:$F$65,"&gt;="&amp;AP$4)&gt;0,"■",""))</f>
        <v/>
      </c>
      <c r="AQ6" s="29">
        <f>IF($A6="","",IF(COUNTIFS('案件台帳'!$C$6:$C$65,$A6,'案件台帳'!$E$6:$E$65,"&lt;="&amp;AQ$4,'案件台帳'!$F$6:$F$65,"&gt;="&amp;AQ$4)+COUNTIFS('案件台帳'!$C$6:$C$65,$A6,'案件台帳'!$E$6:$E$65,"",'案件台帳'!$F$6:$F$65,"&gt;="&amp;AQ$4)&gt;0,"■",""))</f>
        <v/>
      </c>
      <c r="AR6" s="29">
        <f>IF($A6="","",IF(COUNTIFS('案件台帳'!$C$6:$C$65,$A6,'案件台帳'!$E$6:$E$65,"&lt;="&amp;AR$4,'案件台帳'!$F$6:$F$65,"&gt;="&amp;AR$4)+COUNTIFS('案件台帳'!$C$6:$C$65,$A6,'案件台帳'!$E$6:$E$65,"",'案件台帳'!$F$6:$F$65,"&gt;="&amp;AR$4)&gt;0,"■",""))</f>
        <v/>
      </c>
      <c r="AS6" s="29">
        <f>IF($A6="","",IF(COUNTIFS('案件台帳'!$C$6:$C$65,$A6,'案件台帳'!$E$6:$E$65,"&lt;="&amp;AS$4,'案件台帳'!$F$6:$F$65,"&gt;="&amp;AS$4)+COUNTIFS('案件台帳'!$C$6:$C$65,$A6,'案件台帳'!$E$6:$E$65,"",'案件台帳'!$F$6:$F$65,"&gt;="&amp;AS$4)&gt;0,"■",""))</f>
        <v/>
      </c>
      <c r="AT6" s="29">
        <f>IF($A6="","",IF(COUNTIFS('案件台帳'!$C$6:$C$65,$A6,'案件台帳'!$E$6:$E$65,"&lt;="&amp;AT$4,'案件台帳'!$F$6:$F$65,"&gt;="&amp;AT$4)+COUNTIFS('案件台帳'!$C$6:$C$65,$A6,'案件台帳'!$E$6:$E$65,"",'案件台帳'!$F$6:$F$65,"&gt;="&amp;AT$4)&gt;0,"■",""))</f>
        <v/>
      </c>
      <c r="AU6" s="29">
        <f>IF($A6="","",IF(COUNTIFS('案件台帳'!$C$6:$C$65,$A6,'案件台帳'!$E$6:$E$65,"&lt;="&amp;AU$4,'案件台帳'!$F$6:$F$65,"&gt;="&amp;AU$4)+COUNTIFS('案件台帳'!$C$6:$C$65,$A6,'案件台帳'!$E$6:$E$65,"",'案件台帳'!$F$6:$F$65,"&gt;="&amp;AU$4)&gt;0,"■",""))</f>
        <v/>
      </c>
      <c r="AV6" s="29">
        <f>IF($A6="","",IF(COUNTIFS('案件台帳'!$C$6:$C$65,$A6,'案件台帳'!$E$6:$E$65,"&lt;="&amp;AV$4,'案件台帳'!$F$6:$F$65,"&gt;="&amp;AV$4)+COUNTIFS('案件台帳'!$C$6:$C$65,$A6,'案件台帳'!$E$6:$E$65,"",'案件台帳'!$F$6:$F$65,"&gt;="&amp;AV$4)&gt;0,"■",""))</f>
        <v/>
      </c>
      <c r="AW6" s="29">
        <f>IF($A6="","",IF(COUNTIFS('案件台帳'!$C$6:$C$65,$A6,'案件台帳'!$E$6:$E$65,"&lt;="&amp;AW$4,'案件台帳'!$F$6:$F$65,"&gt;="&amp;AW$4)+COUNTIFS('案件台帳'!$C$6:$C$65,$A6,'案件台帳'!$E$6:$E$65,"",'案件台帳'!$F$6:$F$65,"&gt;="&amp;AW$4)&gt;0,"■",""))</f>
        <v/>
      </c>
      <c r="AX6" s="29">
        <f>IF($A6="","",IF(COUNTIFS('案件台帳'!$C$6:$C$65,$A6,'案件台帳'!$E$6:$E$65,"&lt;="&amp;AX$4,'案件台帳'!$F$6:$F$65,"&gt;="&amp;AX$4)+COUNTIFS('案件台帳'!$C$6:$C$65,$A6,'案件台帳'!$E$6:$E$65,"",'案件台帳'!$F$6:$F$65,"&gt;="&amp;AX$4)&gt;0,"■",""))</f>
        <v/>
      </c>
      <c r="AY6" s="29">
        <f>IF($A6="","",IF(COUNTIFS('案件台帳'!$C$6:$C$65,$A6,'案件台帳'!$E$6:$E$65,"&lt;="&amp;AY$4,'案件台帳'!$F$6:$F$65,"&gt;="&amp;AY$4)+COUNTIFS('案件台帳'!$C$6:$C$65,$A6,'案件台帳'!$E$6:$E$65,"",'案件台帳'!$F$6:$F$65,"&gt;="&amp;AY$4)&gt;0,"■",""))</f>
        <v/>
      </c>
      <c r="AZ6" s="29">
        <f>IF($A6="","",IF(COUNTIFS('案件台帳'!$C$6:$C$65,$A6,'案件台帳'!$E$6:$E$65,"&lt;="&amp;AZ$4,'案件台帳'!$F$6:$F$65,"&gt;="&amp;AZ$4)+COUNTIFS('案件台帳'!$C$6:$C$65,$A6,'案件台帳'!$E$6:$E$65,"",'案件台帳'!$F$6:$F$65,"&gt;="&amp;AZ$4)&gt;0,"■",""))</f>
        <v/>
      </c>
      <c r="BA6" s="29">
        <f>IF($A6="","",IF(COUNTIFS('案件台帳'!$C$6:$C$65,$A6,'案件台帳'!$E$6:$E$65,"&lt;="&amp;BA$4,'案件台帳'!$F$6:$F$65,"&gt;="&amp;BA$4)+COUNTIFS('案件台帳'!$C$6:$C$65,$A6,'案件台帳'!$E$6:$E$65,"",'案件台帳'!$F$6:$F$65,"&gt;="&amp;BA$4)&gt;0,"■",""))</f>
        <v/>
      </c>
      <c r="BB6" s="29">
        <f>IF($A6="","",IF(COUNTIFS('案件台帳'!$C$6:$C$65,$A6,'案件台帳'!$E$6:$E$65,"&lt;="&amp;BB$4,'案件台帳'!$F$6:$F$65,"&gt;="&amp;BB$4)+COUNTIFS('案件台帳'!$C$6:$C$65,$A6,'案件台帳'!$E$6:$E$65,"",'案件台帳'!$F$6:$F$65,"&gt;="&amp;BB$4)&gt;0,"■",""))</f>
        <v/>
      </c>
      <c r="BC6" s="29">
        <f>IF($A6="","",IF(COUNTIFS('案件台帳'!$C$6:$C$65,$A6,'案件台帳'!$E$6:$E$65,"&lt;="&amp;BC$4,'案件台帳'!$F$6:$F$65,"&gt;="&amp;BC$4)+COUNTIFS('案件台帳'!$C$6:$C$65,$A6,'案件台帳'!$E$6:$E$65,"",'案件台帳'!$F$6:$F$65,"&gt;="&amp;BC$4)&gt;0,"■",""))</f>
        <v/>
      </c>
      <c r="BD6" s="29">
        <f>IF($A6="","",IF(COUNTIFS('案件台帳'!$C$6:$C$65,$A6,'案件台帳'!$E$6:$E$65,"&lt;="&amp;BD$4,'案件台帳'!$F$6:$F$65,"&gt;="&amp;BD$4)+COUNTIFS('案件台帳'!$C$6:$C$65,$A6,'案件台帳'!$E$6:$E$65,"",'案件台帳'!$F$6:$F$65,"&gt;="&amp;BD$4)&gt;0,"■",""))</f>
        <v/>
      </c>
      <c r="BE6" s="29">
        <f>IF($A6="","",IF(COUNTIFS('案件台帳'!$C$6:$C$65,$A6,'案件台帳'!$E$6:$E$65,"&lt;="&amp;BE$4,'案件台帳'!$F$6:$F$65,"&gt;="&amp;BE$4)+COUNTIFS('案件台帳'!$C$6:$C$65,$A6,'案件台帳'!$E$6:$E$65,"",'案件台帳'!$F$6:$F$65,"&gt;="&amp;BE$4)&gt;0,"■",""))</f>
        <v/>
      </c>
      <c r="BF6" s="29">
        <f>IF($A6="","",IF(COUNTIFS('案件台帳'!$C$6:$C$65,$A6,'案件台帳'!$E$6:$E$65,"&lt;="&amp;BF$4,'案件台帳'!$F$6:$F$65,"&gt;="&amp;BF$4)+COUNTIFS('案件台帳'!$C$6:$C$65,$A6,'案件台帳'!$E$6:$E$65,"",'案件台帳'!$F$6:$F$65,"&gt;="&amp;BF$4)&gt;0,"■",""))</f>
        <v/>
      </c>
      <c r="BG6" s="29">
        <f>IF($A6="","",IF(COUNTIFS('案件台帳'!$C$6:$C$65,$A6,'案件台帳'!$E$6:$E$65,"&lt;="&amp;BG$4,'案件台帳'!$F$6:$F$65,"&gt;="&amp;BG$4)+COUNTIFS('案件台帳'!$C$6:$C$65,$A6,'案件台帳'!$E$6:$E$65,"",'案件台帳'!$F$6:$F$65,"&gt;="&amp;BG$4)&gt;0,"■",""))</f>
        <v/>
      </c>
      <c r="BH6" s="29">
        <f>IF($A6="","",IF(COUNTIFS('案件台帳'!$C$6:$C$65,$A6,'案件台帳'!$E$6:$E$65,"&lt;="&amp;BH$4,'案件台帳'!$F$6:$F$65,"&gt;="&amp;BH$4)+COUNTIFS('案件台帳'!$C$6:$C$65,$A6,'案件台帳'!$E$6:$E$65,"",'案件台帳'!$F$6:$F$65,"&gt;="&amp;BH$4)&gt;0,"■",""))</f>
        <v/>
      </c>
      <c r="BI6" s="29">
        <f>IF($A6="","",IF(COUNTIFS('案件台帳'!$C$6:$C$65,$A6,'案件台帳'!$E$6:$E$65,"&lt;="&amp;BI$4,'案件台帳'!$F$6:$F$65,"&gt;="&amp;BI$4)+COUNTIFS('案件台帳'!$C$6:$C$65,$A6,'案件台帳'!$E$6:$E$65,"",'案件台帳'!$F$6:$F$65,"&gt;="&amp;BI$4)&gt;0,"■",""))</f>
        <v/>
      </c>
      <c r="BJ6" s="29">
        <f>IF($A6="","",IF(COUNTIFS('案件台帳'!$C$6:$C$65,$A6,'案件台帳'!$E$6:$E$65,"&lt;="&amp;BJ$4,'案件台帳'!$F$6:$F$65,"&gt;="&amp;BJ$4)+COUNTIFS('案件台帳'!$C$6:$C$65,$A6,'案件台帳'!$E$6:$E$65,"",'案件台帳'!$F$6:$F$65,"&gt;="&amp;BJ$4)&gt;0,"■",""))</f>
        <v/>
      </c>
      <c r="BK6" s="29">
        <f>IF($A6="","",IF(COUNTIFS('案件台帳'!$C$6:$C$65,$A6,'案件台帳'!$E$6:$E$65,"&lt;="&amp;BK$4,'案件台帳'!$F$6:$F$65,"&gt;="&amp;BK$4)+COUNTIFS('案件台帳'!$C$6:$C$65,$A6,'案件台帳'!$E$6:$E$65,"",'案件台帳'!$F$6:$F$65,"&gt;="&amp;BK$4)&gt;0,"■",""))</f>
        <v/>
      </c>
      <c r="BL6" s="29">
        <f>IF($A6="","",IF(COUNTIFS('案件台帳'!$C$6:$C$65,$A6,'案件台帳'!$E$6:$E$65,"&lt;="&amp;BL$4,'案件台帳'!$F$6:$F$65,"&gt;="&amp;BL$4)+COUNTIFS('案件台帳'!$C$6:$C$65,$A6,'案件台帳'!$E$6:$E$65,"",'案件台帳'!$F$6:$F$65,"&gt;="&amp;BL$4)&gt;0,"■",""))</f>
        <v/>
      </c>
    </row>
    <row r="7">
      <c r="A7" s="24">
        <f>IF(職人ダッシュボード!$A$6="","",職人ダッシュボード!$A$6)</f>
        <v/>
      </c>
      <c r="B7" s="29">
        <f>IF($A7="","",IF(COUNTIFS('案件台帳'!$C$6:$C$65,$A7,'案件台帳'!$E$6:$E$65,"&lt;="&amp;B$4,'案件台帳'!$F$6:$F$65,"&gt;="&amp;B$4)+COUNTIFS('案件台帳'!$C$6:$C$65,$A7,'案件台帳'!$E$6:$E$65,"",'案件台帳'!$F$6:$F$65,"&gt;="&amp;B$4)&gt;0,"■",""))</f>
        <v/>
      </c>
      <c r="C7" s="29">
        <f>IF($A7="","",IF(COUNTIFS('案件台帳'!$C$6:$C$65,$A7,'案件台帳'!$E$6:$E$65,"&lt;="&amp;C$4,'案件台帳'!$F$6:$F$65,"&gt;="&amp;C$4)+COUNTIFS('案件台帳'!$C$6:$C$65,$A7,'案件台帳'!$E$6:$E$65,"",'案件台帳'!$F$6:$F$65,"&gt;="&amp;C$4)&gt;0,"■",""))</f>
        <v/>
      </c>
      <c r="D7" s="29">
        <f>IF($A7="","",IF(COUNTIFS('案件台帳'!$C$6:$C$65,$A7,'案件台帳'!$E$6:$E$65,"&lt;="&amp;D$4,'案件台帳'!$F$6:$F$65,"&gt;="&amp;D$4)+COUNTIFS('案件台帳'!$C$6:$C$65,$A7,'案件台帳'!$E$6:$E$65,"",'案件台帳'!$F$6:$F$65,"&gt;="&amp;D$4)&gt;0,"■",""))</f>
        <v/>
      </c>
      <c r="E7" s="29">
        <f>IF($A7="","",IF(COUNTIFS('案件台帳'!$C$6:$C$65,$A7,'案件台帳'!$E$6:$E$65,"&lt;="&amp;E$4,'案件台帳'!$F$6:$F$65,"&gt;="&amp;E$4)+COUNTIFS('案件台帳'!$C$6:$C$65,$A7,'案件台帳'!$E$6:$E$65,"",'案件台帳'!$F$6:$F$65,"&gt;="&amp;E$4)&gt;0,"■",""))</f>
        <v/>
      </c>
      <c r="F7" s="29">
        <f>IF($A7="","",IF(COUNTIFS('案件台帳'!$C$6:$C$65,$A7,'案件台帳'!$E$6:$E$65,"&lt;="&amp;F$4,'案件台帳'!$F$6:$F$65,"&gt;="&amp;F$4)+COUNTIFS('案件台帳'!$C$6:$C$65,$A7,'案件台帳'!$E$6:$E$65,"",'案件台帳'!$F$6:$F$65,"&gt;="&amp;F$4)&gt;0,"■",""))</f>
        <v/>
      </c>
      <c r="G7" s="29">
        <f>IF($A7="","",IF(COUNTIFS('案件台帳'!$C$6:$C$65,$A7,'案件台帳'!$E$6:$E$65,"&lt;="&amp;G$4,'案件台帳'!$F$6:$F$65,"&gt;="&amp;G$4)+COUNTIFS('案件台帳'!$C$6:$C$65,$A7,'案件台帳'!$E$6:$E$65,"",'案件台帳'!$F$6:$F$65,"&gt;="&amp;G$4)&gt;0,"■",""))</f>
        <v/>
      </c>
      <c r="H7" s="29">
        <f>IF($A7="","",IF(COUNTIFS('案件台帳'!$C$6:$C$65,$A7,'案件台帳'!$E$6:$E$65,"&lt;="&amp;H$4,'案件台帳'!$F$6:$F$65,"&gt;="&amp;H$4)+COUNTIFS('案件台帳'!$C$6:$C$65,$A7,'案件台帳'!$E$6:$E$65,"",'案件台帳'!$F$6:$F$65,"&gt;="&amp;H$4)&gt;0,"■",""))</f>
        <v/>
      </c>
      <c r="I7" s="29">
        <f>IF($A7="","",IF(COUNTIFS('案件台帳'!$C$6:$C$65,$A7,'案件台帳'!$E$6:$E$65,"&lt;="&amp;I$4,'案件台帳'!$F$6:$F$65,"&gt;="&amp;I$4)+COUNTIFS('案件台帳'!$C$6:$C$65,$A7,'案件台帳'!$E$6:$E$65,"",'案件台帳'!$F$6:$F$65,"&gt;="&amp;I$4)&gt;0,"■",""))</f>
        <v/>
      </c>
      <c r="J7" s="29">
        <f>IF($A7="","",IF(COUNTIFS('案件台帳'!$C$6:$C$65,$A7,'案件台帳'!$E$6:$E$65,"&lt;="&amp;J$4,'案件台帳'!$F$6:$F$65,"&gt;="&amp;J$4)+COUNTIFS('案件台帳'!$C$6:$C$65,$A7,'案件台帳'!$E$6:$E$65,"",'案件台帳'!$F$6:$F$65,"&gt;="&amp;J$4)&gt;0,"■",""))</f>
        <v/>
      </c>
      <c r="K7" s="29">
        <f>IF($A7="","",IF(COUNTIFS('案件台帳'!$C$6:$C$65,$A7,'案件台帳'!$E$6:$E$65,"&lt;="&amp;K$4,'案件台帳'!$F$6:$F$65,"&gt;="&amp;K$4)+COUNTIFS('案件台帳'!$C$6:$C$65,$A7,'案件台帳'!$E$6:$E$65,"",'案件台帳'!$F$6:$F$65,"&gt;="&amp;K$4)&gt;0,"■",""))</f>
        <v/>
      </c>
      <c r="L7" s="29">
        <f>IF($A7="","",IF(COUNTIFS('案件台帳'!$C$6:$C$65,$A7,'案件台帳'!$E$6:$E$65,"&lt;="&amp;L$4,'案件台帳'!$F$6:$F$65,"&gt;="&amp;L$4)+COUNTIFS('案件台帳'!$C$6:$C$65,$A7,'案件台帳'!$E$6:$E$65,"",'案件台帳'!$F$6:$F$65,"&gt;="&amp;L$4)&gt;0,"■",""))</f>
        <v/>
      </c>
      <c r="M7" s="29">
        <f>IF($A7="","",IF(COUNTIFS('案件台帳'!$C$6:$C$65,$A7,'案件台帳'!$E$6:$E$65,"&lt;="&amp;M$4,'案件台帳'!$F$6:$F$65,"&gt;="&amp;M$4)+COUNTIFS('案件台帳'!$C$6:$C$65,$A7,'案件台帳'!$E$6:$E$65,"",'案件台帳'!$F$6:$F$65,"&gt;="&amp;M$4)&gt;0,"■",""))</f>
        <v/>
      </c>
      <c r="N7" s="29">
        <f>IF($A7="","",IF(COUNTIFS('案件台帳'!$C$6:$C$65,$A7,'案件台帳'!$E$6:$E$65,"&lt;="&amp;N$4,'案件台帳'!$F$6:$F$65,"&gt;="&amp;N$4)+COUNTIFS('案件台帳'!$C$6:$C$65,$A7,'案件台帳'!$E$6:$E$65,"",'案件台帳'!$F$6:$F$65,"&gt;="&amp;N$4)&gt;0,"■",""))</f>
        <v/>
      </c>
      <c r="O7" s="29">
        <f>IF($A7="","",IF(COUNTIFS('案件台帳'!$C$6:$C$65,$A7,'案件台帳'!$E$6:$E$65,"&lt;="&amp;O$4,'案件台帳'!$F$6:$F$65,"&gt;="&amp;O$4)+COUNTIFS('案件台帳'!$C$6:$C$65,$A7,'案件台帳'!$E$6:$E$65,"",'案件台帳'!$F$6:$F$65,"&gt;="&amp;O$4)&gt;0,"■",""))</f>
        <v/>
      </c>
      <c r="P7" s="29">
        <f>IF($A7="","",IF(COUNTIFS('案件台帳'!$C$6:$C$65,$A7,'案件台帳'!$E$6:$E$65,"&lt;="&amp;P$4,'案件台帳'!$F$6:$F$65,"&gt;="&amp;P$4)+COUNTIFS('案件台帳'!$C$6:$C$65,$A7,'案件台帳'!$E$6:$E$65,"",'案件台帳'!$F$6:$F$65,"&gt;="&amp;P$4)&gt;0,"■",""))</f>
        <v/>
      </c>
      <c r="Q7" s="29">
        <f>IF($A7="","",IF(COUNTIFS('案件台帳'!$C$6:$C$65,$A7,'案件台帳'!$E$6:$E$65,"&lt;="&amp;Q$4,'案件台帳'!$F$6:$F$65,"&gt;="&amp;Q$4)+COUNTIFS('案件台帳'!$C$6:$C$65,$A7,'案件台帳'!$E$6:$E$65,"",'案件台帳'!$F$6:$F$65,"&gt;="&amp;Q$4)&gt;0,"■",""))</f>
        <v/>
      </c>
      <c r="R7" s="29">
        <f>IF($A7="","",IF(COUNTIFS('案件台帳'!$C$6:$C$65,$A7,'案件台帳'!$E$6:$E$65,"&lt;="&amp;R$4,'案件台帳'!$F$6:$F$65,"&gt;="&amp;R$4)+COUNTIFS('案件台帳'!$C$6:$C$65,$A7,'案件台帳'!$E$6:$E$65,"",'案件台帳'!$F$6:$F$65,"&gt;="&amp;R$4)&gt;0,"■",""))</f>
        <v/>
      </c>
      <c r="S7" s="29">
        <f>IF($A7="","",IF(COUNTIFS('案件台帳'!$C$6:$C$65,$A7,'案件台帳'!$E$6:$E$65,"&lt;="&amp;S$4,'案件台帳'!$F$6:$F$65,"&gt;="&amp;S$4)+COUNTIFS('案件台帳'!$C$6:$C$65,$A7,'案件台帳'!$E$6:$E$65,"",'案件台帳'!$F$6:$F$65,"&gt;="&amp;S$4)&gt;0,"■",""))</f>
        <v/>
      </c>
      <c r="T7" s="29">
        <f>IF($A7="","",IF(COUNTIFS('案件台帳'!$C$6:$C$65,$A7,'案件台帳'!$E$6:$E$65,"&lt;="&amp;T$4,'案件台帳'!$F$6:$F$65,"&gt;="&amp;T$4)+COUNTIFS('案件台帳'!$C$6:$C$65,$A7,'案件台帳'!$E$6:$E$65,"",'案件台帳'!$F$6:$F$65,"&gt;="&amp;T$4)&gt;0,"■",""))</f>
        <v/>
      </c>
      <c r="U7" s="29">
        <f>IF($A7="","",IF(COUNTIFS('案件台帳'!$C$6:$C$65,$A7,'案件台帳'!$E$6:$E$65,"&lt;="&amp;U$4,'案件台帳'!$F$6:$F$65,"&gt;="&amp;U$4)+COUNTIFS('案件台帳'!$C$6:$C$65,$A7,'案件台帳'!$E$6:$E$65,"",'案件台帳'!$F$6:$F$65,"&gt;="&amp;U$4)&gt;0,"■",""))</f>
        <v/>
      </c>
      <c r="V7" s="29">
        <f>IF($A7="","",IF(COUNTIFS('案件台帳'!$C$6:$C$65,$A7,'案件台帳'!$E$6:$E$65,"&lt;="&amp;V$4,'案件台帳'!$F$6:$F$65,"&gt;="&amp;V$4)+COUNTIFS('案件台帳'!$C$6:$C$65,$A7,'案件台帳'!$E$6:$E$65,"",'案件台帳'!$F$6:$F$65,"&gt;="&amp;V$4)&gt;0,"■",""))</f>
        <v/>
      </c>
      <c r="W7" s="29">
        <f>IF($A7="","",IF(COUNTIFS('案件台帳'!$C$6:$C$65,$A7,'案件台帳'!$E$6:$E$65,"&lt;="&amp;W$4,'案件台帳'!$F$6:$F$65,"&gt;="&amp;W$4)+COUNTIFS('案件台帳'!$C$6:$C$65,$A7,'案件台帳'!$E$6:$E$65,"",'案件台帳'!$F$6:$F$65,"&gt;="&amp;W$4)&gt;0,"■",""))</f>
        <v/>
      </c>
      <c r="X7" s="29">
        <f>IF($A7="","",IF(COUNTIFS('案件台帳'!$C$6:$C$65,$A7,'案件台帳'!$E$6:$E$65,"&lt;="&amp;X$4,'案件台帳'!$F$6:$F$65,"&gt;="&amp;X$4)+COUNTIFS('案件台帳'!$C$6:$C$65,$A7,'案件台帳'!$E$6:$E$65,"",'案件台帳'!$F$6:$F$65,"&gt;="&amp;X$4)&gt;0,"■",""))</f>
        <v/>
      </c>
      <c r="Y7" s="29">
        <f>IF($A7="","",IF(COUNTIFS('案件台帳'!$C$6:$C$65,$A7,'案件台帳'!$E$6:$E$65,"&lt;="&amp;Y$4,'案件台帳'!$F$6:$F$65,"&gt;="&amp;Y$4)+COUNTIFS('案件台帳'!$C$6:$C$65,$A7,'案件台帳'!$E$6:$E$65,"",'案件台帳'!$F$6:$F$65,"&gt;="&amp;Y$4)&gt;0,"■",""))</f>
        <v/>
      </c>
      <c r="Z7" s="29">
        <f>IF($A7="","",IF(COUNTIFS('案件台帳'!$C$6:$C$65,$A7,'案件台帳'!$E$6:$E$65,"&lt;="&amp;Z$4,'案件台帳'!$F$6:$F$65,"&gt;="&amp;Z$4)+COUNTIFS('案件台帳'!$C$6:$C$65,$A7,'案件台帳'!$E$6:$E$65,"",'案件台帳'!$F$6:$F$65,"&gt;="&amp;Z$4)&gt;0,"■",""))</f>
        <v/>
      </c>
      <c r="AA7" s="29">
        <f>IF($A7="","",IF(COUNTIFS('案件台帳'!$C$6:$C$65,$A7,'案件台帳'!$E$6:$E$65,"&lt;="&amp;AA$4,'案件台帳'!$F$6:$F$65,"&gt;="&amp;AA$4)+COUNTIFS('案件台帳'!$C$6:$C$65,$A7,'案件台帳'!$E$6:$E$65,"",'案件台帳'!$F$6:$F$65,"&gt;="&amp;AA$4)&gt;0,"■",""))</f>
        <v/>
      </c>
      <c r="AB7" s="29">
        <f>IF($A7="","",IF(COUNTIFS('案件台帳'!$C$6:$C$65,$A7,'案件台帳'!$E$6:$E$65,"&lt;="&amp;AB$4,'案件台帳'!$F$6:$F$65,"&gt;="&amp;AB$4)+COUNTIFS('案件台帳'!$C$6:$C$65,$A7,'案件台帳'!$E$6:$E$65,"",'案件台帳'!$F$6:$F$65,"&gt;="&amp;AB$4)&gt;0,"■",""))</f>
        <v/>
      </c>
      <c r="AC7" s="29">
        <f>IF($A7="","",IF(COUNTIFS('案件台帳'!$C$6:$C$65,$A7,'案件台帳'!$E$6:$E$65,"&lt;="&amp;AC$4,'案件台帳'!$F$6:$F$65,"&gt;="&amp;AC$4)+COUNTIFS('案件台帳'!$C$6:$C$65,$A7,'案件台帳'!$E$6:$E$65,"",'案件台帳'!$F$6:$F$65,"&gt;="&amp;AC$4)&gt;0,"■",""))</f>
        <v/>
      </c>
      <c r="AD7" s="29">
        <f>IF($A7="","",IF(COUNTIFS('案件台帳'!$C$6:$C$65,$A7,'案件台帳'!$E$6:$E$65,"&lt;="&amp;AD$4,'案件台帳'!$F$6:$F$65,"&gt;="&amp;AD$4)+COUNTIFS('案件台帳'!$C$6:$C$65,$A7,'案件台帳'!$E$6:$E$65,"",'案件台帳'!$F$6:$F$65,"&gt;="&amp;AD$4)&gt;0,"■",""))</f>
        <v/>
      </c>
      <c r="AE7" s="29">
        <f>IF($A7="","",IF(COUNTIFS('案件台帳'!$C$6:$C$65,$A7,'案件台帳'!$E$6:$E$65,"&lt;="&amp;AE$4,'案件台帳'!$F$6:$F$65,"&gt;="&amp;AE$4)+COUNTIFS('案件台帳'!$C$6:$C$65,$A7,'案件台帳'!$E$6:$E$65,"",'案件台帳'!$F$6:$F$65,"&gt;="&amp;AE$4)&gt;0,"■",""))</f>
        <v/>
      </c>
      <c r="AF7" s="29">
        <f>IF($A7="","",IF(COUNTIFS('案件台帳'!$C$6:$C$65,$A7,'案件台帳'!$E$6:$E$65,"&lt;="&amp;AF$4,'案件台帳'!$F$6:$F$65,"&gt;="&amp;AF$4)+COUNTIFS('案件台帳'!$C$6:$C$65,$A7,'案件台帳'!$E$6:$E$65,"",'案件台帳'!$F$6:$F$65,"&gt;="&amp;AF$4)&gt;0,"■",""))</f>
        <v/>
      </c>
      <c r="AG7" s="29">
        <f>IF($A7="","",IF(COUNTIFS('案件台帳'!$C$6:$C$65,$A7,'案件台帳'!$E$6:$E$65,"&lt;="&amp;AG$4,'案件台帳'!$F$6:$F$65,"&gt;="&amp;AG$4)+COUNTIFS('案件台帳'!$C$6:$C$65,$A7,'案件台帳'!$E$6:$E$65,"",'案件台帳'!$F$6:$F$65,"&gt;="&amp;AG$4)&gt;0,"■",""))</f>
        <v/>
      </c>
      <c r="AH7" s="29">
        <f>IF($A7="","",IF(COUNTIFS('案件台帳'!$C$6:$C$65,$A7,'案件台帳'!$E$6:$E$65,"&lt;="&amp;AH$4,'案件台帳'!$F$6:$F$65,"&gt;="&amp;AH$4)+COUNTIFS('案件台帳'!$C$6:$C$65,$A7,'案件台帳'!$E$6:$E$65,"",'案件台帳'!$F$6:$F$65,"&gt;="&amp;AH$4)&gt;0,"■",""))</f>
        <v/>
      </c>
      <c r="AI7" s="29">
        <f>IF($A7="","",IF(COUNTIFS('案件台帳'!$C$6:$C$65,$A7,'案件台帳'!$E$6:$E$65,"&lt;="&amp;AI$4,'案件台帳'!$F$6:$F$65,"&gt;="&amp;AI$4)+COUNTIFS('案件台帳'!$C$6:$C$65,$A7,'案件台帳'!$E$6:$E$65,"",'案件台帳'!$F$6:$F$65,"&gt;="&amp;AI$4)&gt;0,"■",""))</f>
        <v/>
      </c>
      <c r="AJ7" s="29">
        <f>IF($A7="","",IF(COUNTIFS('案件台帳'!$C$6:$C$65,$A7,'案件台帳'!$E$6:$E$65,"&lt;="&amp;AJ$4,'案件台帳'!$F$6:$F$65,"&gt;="&amp;AJ$4)+COUNTIFS('案件台帳'!$C$6:$C$65,$A7,'案件台帳'!$E$6:$E$65,"",'案件台帳'!$F$6:$F$65,"&gt;="&amp;AJ$4)&gt;0,"■",""))</f>
        <v/>
      </c>
      <c r="AK7" s="29">
        <f>IF($A7="","",IF(COUNTIFS('案件台帳'!$C$6:$C$65,$A7,'案件台帳'!$E$6:$E$65,"&lt;="&amp;AK$4,'案件台帳'!$F$6:$F$65,"&gt;="&amp;AK$4)+COUNTIFS('案件台帳'!$C$6:$C$65,$A7,'案件台帳'!$E$6:$E$65,"",'案件台帳'!$F$6:$F$65,"&gt;="&amp;AK$4)&gt;0,"■",""))</f>
        <v/>
      </c>
      <c r="AL7" s="29">
        <f>IF($A7="","",IF(COUNTIFS('案件台帳'!$C$6:$C$65,$A7,'案件台帳'!$E$6:$E$65,"&lt;="&amp;AL$4,'案件台帳'!$F$6:$F$65,"&gt;="&amp;AL$4)+COUNTIFS('案件台帳'!$C$6:$C$65,$A7,'案件台帳'!$E$6:$E$65,"",'案件台帳'!$F$6:$F$65,"&gt;="&amp;AL$4)&gt;0,"■",""))</f>
        <v/>
      </c>
      <c r="AM7" s="29">
        <f>IF($A7="","",IF(COUNTIFS('案件台帳'!$C$6:$C$65,$A7,'案件台帳'!$E$6:$E$65,"&lt;="&amp;AM$4,'案件台帳'!$F$6:$F$65,"&gt;="&amp;AM$4)+COUNTIFS('案件台帳'!$C$6:$C$65,$A7,'案件台帳'!$E$6:$E$65,"",'案件台帳'!$F$6:$F$65,"&gt;="&amp;AM$4)&gt;0,"■",""))</f>
        <v/>
      </c>
      <c r="AN7" s="29">
        <f>IF($A7="","",IF(COUNTIFS('案件台帳'!$C$6:$C$65,$A7,'案件台帳'!$E$6:$E$65,"&lt;="&amp;AN$4,'案件台帳'!$F$6:$F$65,"&gt;="&amp;AN$4)+COUNTIFS('案件台帳'!$C$6:$C$65,$A7,'案件台帳'!$E$6:$E$65,"",'案件台帳'!$F$6:$F$65,"&gt;="&amp;AN$4)&gt;0,"■",""))</f>
        <v/>
      </c>
      <c r="AO7" s="29">
        <f>IF($A7="","",IF(COUNTIFS('案件台帳'!$C$6:$C$65,$A7,'案件台帳'!$E$6:$E$65,"&lt;="&amp;AO$4,'案件台帳'!$F$6:$F$65,"&gt;="&amp;AO$4)+COUNTIFS('案件台帳'!$C$6:$C$65,$A7,'案件台帳'!$E$6:$E$65,"",'案件台帳'!$F$6:$F$65,"&gt;="&amp;AO$4)&gt;0,"■",""))</f>
        <v/>
      </c>
      <c r="AP7" s="29">
        <f>IF($A7="","",IF(COUNTIFS('案件台帳'!$C$6:$C$65,$A7,'案件台帳'!$E$6:$E$65,"&lt;="&amp;AP$4,'案件台帳'!$F$6:$F$65,"&gt;="&amp;AP$4)+COUNTIFS('案件台帳'!$C$6:$C$65,$A7,'案件台帳'!$E$6:$E$65,"",'案件台帳'!$F$6:$F$65,"&gt;="&amp;AP$4)&gt;0,"■",""))</f>
        <v/>
      </c>
      <c r="AQ7" s="29">
        <f>IF($A7="","",IF(COUNTIFS('案件台帳'!$C$6:$C$65,$A7,'案件台帳'!$E$6:$E$65,"&lt;="&amp;AQ$4,'案件台帳'!$F$6:$F$65,"&gt;="&amp;AQ$4)+COUNTIFS('案件台帳'!$C$6:$C$65,$A7,'案件台帳'!$E$6:$E$65,"",'案件台帳'!$F$6:$F$65,"&gt;="&amp;AQ$4)&gt;0,"■",""))</f>
        <v/>
      </c>
      <c r="AR7" s="29">
        <f>IF($A7="","",IF(COUNTIFS('案件台帳'!$C$6:$C$65,$A7,'案件台帳'!$E$6:$E$65,"&lt;="&amp;AR$4,'案件台帳'!$F$6:$F$65,"&gt;="&amp;AR$4)+COUNTIFS('案件台帳'!$C$6:$C$65,$A7,'案件台帳'!$E$6:$E$65,"",'案件台帳'!$F$6:$F$65,"&gt;="&amp;AR$4)&gt;0,"■",""))</f>
        <v/>
      </c>
      <c r="AS7" s="29">
        <f>IF($A7="","",IF(COUNTIFS('案件台帳'!$C$6:$C$65,$A7,'案件台帳'!$E$6:$E$65,"&lt;="&amp;AS$4,'案件台帳'!$F$6:$F$65,"&gt;="&amp;AS$4)+COUNTIFS('案件台帳'!$C$6:$C$65,$A7,'案件台帳'!$E$6:$E$65,"",'案件台帳'!$F$6:$F$65,"&gt;="&amp;AS$4)&gt;0,"■",""))</f>
        <v/>
      </c>
      <c r="AT7" s="29">
        <f>IF($A7="","",IF(COUNTIFS('案件台帳'!$C$6:$C$65,$A7,'案件台帳'!$E$6:$E$65,"&lt;="&amp;AT$4,'案件台帳'!$F$6:$F$65,"&gt;="&amp;AT$4)+COUNTIFS('案件台帳'!$C$6:$C$65,$A7,'案件台帳'!$E$6:$E$65,"",'案件台帳'!$F$6:$F$65,"&gt;="&amp;AT$4)&gt;0,"■",""))</f>
        <v/>
      </c>
      <c r="AU7" s="29">
        <f>IF($A7="","",IF(COUNTIFS('案件台帳'!$C$6:$C$65,$A7,'案件台帳'!$E$6:$E$65,"&lt;="&amp;AU$4,'案件台帳'!$F$6:$F$65,"&gt;="&amp;AU$4)+COUNTIFS('案件台帳'!$C$6:$C$65,$A7,'案件台帳'!$E$6:$E$65,"",'案件台帳'!$F$6:$F$65,"&gt;="&amp;AU$4)&gt;0,"■",""))</f>
        <v/>
      </c>
      <c r="AV7" s="29">
        <f>IF($A7="","",IF(COUNTIFS('案件台帳'!$C$6:$C$65,$A7,'案件台帳'!$E$6:$E$65,"&lt;="&amp;AV$4,'案件台帳'!$F$6:$F$65,"&gt;="&amp;AV$4)+COUNTIFS('案件台帳'!$C$6:$C$65,$A7,'案件台帳'!$E$6:$E$65,"",'案件台帳'!$F$6:$F$65,"&gt;="&amp;AV$4)&gt;0,"■",""))</f>
        <v/>
      </c>
      <c r="AW7" s="29">
        <f>IF($A7="","",IF(COUNTIFS('案件台帳'!$C$6:$C$65,$A7,'案件台帳'!$E$6:$E$65,"&lt;="&amp;AW$4,'案件台帳'!$F$6:$F$65,"&gt;="&amp;AW$4)+COUNTIFS('案件台帳'!$C$6:$C$65,$A7,'案件台帳'!$E$6:$E$65,"",'案件台帳'!$F$6:$F$65,"&gt;="&amp;AW$4)&gt;0,"■",""))</f>
        <v/>
      </c>
      <c r="AX7" s="29">
        <f>IF($A7="","",IF(COUNTIFS('案件台帳'!$C$6:$C$65,$A7,'案件台帳'!$E$6:$E$65,"&lt;="&amp;AX$4,'案件台帳'!$F$6:$F$65,"&gt;="&amp;AX$4)+COUNTIFS('案件台帳'!$C$6:$C$65,$A7,'案件台帳'!$E$6:$E$65,"",'案件台帳'!$F$6:$F$65,"&gt;="&amp;AX$4)&gt;0,"■",""))</f>
        <v/>
      </c>
      <c r="AY7" s="29">
        <f>IF($A7="","",IF(COUNTIFS('案件台帳'!$C$6:$C$65,$A7,'案件台帳'!$E$6:$E$65,"&lt;="&amp;AY$4,'案件台帳'!$F$6:$F$65,"&gt;="&amp;AY$4)+COUNTIFS('案件台帳'!$C$6:$C$65,$A7,'案件台帳'!$E$6:$E$65,"",'案件台帳'!$F$6:$F$65,"&gt;="&amp;AY$4)&gt;0,"■",""))</f>
        <v/>
      </c>
      <c r="AZ7" s="29">
        <f>IF($A7="","",IF(COUNTIFS('案件台帳'!$C$6:$C$65,$A7,'案件台帳'!$E$6:$E$65,"&lt;="&amp;AZ$4,'案件台帳'!$F$6:$F$65,"&gt;="&amp;AZ$4)+COUNTIFS('案件台帳'!$C$6:$C$65,$A7,'案件台帳'!$E$6:$E$65,"",'案件台帳'!$F$6:$F$65,"&gt;="&amp;AZ$4)&gt;0,"■",""))</f>
        <v/>
      </c>
      <c r="BA7" s="29">
        <f>IF($A7="","",IF(COUNTIFS('案件台帳'!$C$6:$C$65,$A7,'案件台帳'!$E$6:$E$65,"&lt;="&amp;BA$4,'案件台帳'!$F$6:$F$65,"&gt;="&amp;BA$4)+COUNTIFS('案件台帳'!$C$6:$C$65,$A7,'案件台帳'!$E$6:$E$65,"",'案件台帳'!$F$6:$F$65,"&gt;="&amp;BA$4)&gt;0,"■",""))</f>
        <v/>
      </c>
      <c r="BB7" s="29">
        <f>IF($A7="","",IF(COUNTIFS('案件台帳'!$C$6:$C$65,$A7,'案件台帳'!$E$6:$E$65,"&lt;="&amp;BB$4,'案件台帳'!$F$6:$F$65,"&gt;="&amp;BB$4)+COUNTIFS('案件台帳'!$C$6:$C$65,$A7,'案件台帳'!$E$6:$E$65,"",'案件台帳'!$F$6:$F$65,"&gt;="&amp;BB$4)&gt;0,"■",""))</f>
        <v/>
      </c>
      <c r="BC7" s="29">
        <f>IF($A7="","",IF(COUNTIFS('案件台帳'!$C$6:$C$65,$A7,'案件台帳'!$E$6:$E$65,"&lt;="&amp;BC$4,'案件台帳'!$F$6:$F$65,"&gt;="&amp;BC$4)+COUNTIFS('案件台帳'!$C$6:$C$65,$A7,'案件台帳'!$E$6:$E$65,"",'案件台帳'!$F$6:$F$65,"&gt;="&amp;BC$4)&gt;0,"■",""))</f>
        <v/>
      </c>
      <c r="BD7" s="29">
        <f>IF($A7="","",IF(COUNTIFS('案件台帳'!$C$6:$C$65,$A7,'案件台帳'!$E$6:$E$65,"&lt;="&amp;BD$4,'案件台帳'!$F$6:$F$65,"&gt;="&amp;BD$4)+COUNTIFS('案件台帳'!$C$6:$C$65,$A7,'案件台帳'!$E$6:$E$65,"",'案件台帳'!$F$6:$F$65,"&gt;="&amp;BD$4)&gt;0,"■",""))</f>
        <v/>
      </c>
      <c r="BE7" s="29">
        <f>IF($A7="","",IF(COUNTIFS('案件台帳'!$C$6:$C$65,$A7,'案件台帳'!$E$6:$E$65,"&lt;="&amp;BE$4,'案件台帳'!$F$6:$F$65,"&gt;="&amp;BE$4)+COUNTIFS('案件台帳'!$C$6:$C$65,$A7,'案件台帳'!$E$6:$E$65,"",'案件台帳'!$F$6:$F$65,"&gt;="&amp;BE$4)&gt;0,"■",""))</f>
        <v/>
      </c>
      <c r="BF7" s="29">
        <f>IF($A7="","",IF(COUNTIFS('案件台帳'!$C$6:$C$65,$A7,'案件台帳'!$E$6:$E$65,"&lt;="&amp;BF$4,'案件台帳'!$F$6:$F$65,"&gt;="&amp;BF$4)+COUNTIFS('案件台帳'!$C$6:$C$65,$A7,'案件台帳'!$E$6:$E$65,"",'案件台帳'!$F$6:$F$65,"&gt;="&amp;BF$4)&gt;0,"■",""))</f>
        <v/>
      </c>
      <c r="BG7" s="29">
        <f>IF($A7="","",IF(COUNTIFS('案件台帳'!$C$6:$C$65,$A7,'案件台帳'!$E$6:$E$65,"&lt;="&amp;BG$4,'案件台帳'!$F$6:$F$65,"&gt;="&amp;BG$4)+COUNTIFS('案件台帳'!$C$6:$C$65,$A7,'案件台帳'!$E$6:$E$65,"",'案件台帳'!$F$6:$F$65,"&gt;="&amp;BG$4)&gt;0,"■",""))</f>
        <v/>
      </c>
      <c r="BH7" s="29">
        <f>IF($A7="","",IF(COUNTIFS('案件台帳'!$C$6:$C$65,$A7,'案件台帳'!$E$6:$E$65,"&lt;="&amp;BH$4,'案件台帳'!$F$6:$F$65,"&gt;="&amp;BH$4)+COUNTIFS('案件台帳'!$C$6:$C$65,$A7,'案件台帳'!$E$6:$E$65,"",'案件台帳'!$F$6:$F$65,"&gt;="&amp;BH$4)&gt;0,"■",""))</f>
        <v/>
      </c>
      <c r="BI7" s="29">
        <f>IF($A7="","",IF(COUNTIFS('案件台帳'!$C$6:$C$65,$A7,'案件台帳'!$E$6:$E$65,"&lt;="&amp;BI$4,'案件台帳'!$F$6:$F$65,"&gt;="&amp;BI$4)+COUNTIFS('案件台帳'!$C$6:$C$65,$A7,'案件台帳'!$E$6:$E$65,"",'案件台帳'!$F$6:$F$65,"&gt;="&amp;BI$4)&gt;0,"■",""))</f>
        <v/>
      </c>
      <c r="BJ7" s="29">
        <f>IF($A7="","",IF(COUNTIFS('案件台帳'!$C$6:$C$65,$A7,'案件台帳'!$E$6:$E$65,"&lt;="&amp;BJ$4,'案件台帳'!$F$6:$F$65,"&gt;="&amp;BJ$4)+COUNTIFS('案件台帳'!$C$6:$C$65,$A7,'案件台帳'!$E$6:$E$65,"",'案件台帳'!$F$6:$F$65,"&gt;="&amp;BJ$4)&gt;0,"■",""))</f>
        <v/>
      </c>
      <c r="BK7" s="29">
        <f>IF($A7="","",IF(COUNTIFS('案件台帳'!$C$6:$C$65,$A7,'案件台帳'!$E$6:$E$65,"&lt;="&amp;BK$4,'案件台帳'!$F$6:$F$65,"&gt;="&amp;BK$4)+COUNTIFS('案件台帳'!$C$6:$C$65,$A7,'案件台帳'!$E$6:$E$65,"",'案件台帳'!$F$6:$F$65,"&gt;="&amp;BK$4)&gt;0,"■",""))</f>
        <v/>
      </c>
      <c r="BL7" s="29">
        <f>IF($A7="","",IF(COUNTIFS('案件台帳'!$C$6:$C$65,$A7,'案件台帳'!$E$6:$E$65,"&lt;="&amp;BL$4,'案件台帳'!$F$6:$F$65,"&gt;="&amp;BL$4)+COUNTIFS('案件台帳'!$C$6:$C$65,$A7,'案件台帳'!$E$6:$E$65,"",'案件台帳'!$F$6:$F$65,"&gt;="&amp;BL$4)&gt;0,"■",""))</f>
        <v/>
      </c>
    </row>
    <row r="8">
      <c r="A8" s="24">
        <f>IF(職人ダッシュボード!$A$7="","",職人ダッシュボード!$A$7)</f>
        <v/>
      </c>
      <c r="B8" s="29">
        <f>IF($A8="","",IF(COUNTIFS('案件台帳'!$C$6:$C$65,$A8,'案件台帳'!$E$6:$E$65,"&lt;="&amp;B$4,'案件台帳'!$F$6:$F$65,"&gt;="&amp;B$4)+COUNTIFS('案件台帳'!$C$6:$C$65,$A8,'案件台帳'!$E$6:$E$65,"",'案件台帳'!$F$6:$F$65,"&gt;="&amp;B$4)&gt;0,"■",""))</f>
        <v/>
      </c>
      <c r="C8" s="29">
        <f>IF($A8="","",IF(COUNTIFS('案件台帳'!$C$6:$C$65,$A8,'案件台帳'!$E$6:$E$65,"&lt;="&amp;C$4,'案件台帳'!$F$6:$F$65,"&gt;="&amp;C$4)+COUNTIFS('案件台帳'!$C$6:$C$65,$A8,'案件台帳'!$E$6:$E$65,"",'案件台帳'!$F$6:$F$65,"&gt;="&amp;C$4)&gt;0,"■",""))</f>
        <v/>
      </c>
      <c r="D8" s="29">
        <f>IF($A8="","",IF(COUNTIFS('案件台帳'!$C$6:$C$65,$A8,'案件台帳'!$E$6:$E$65,"&lt;="&amp;D$4,'案件台帳'!$F$6:$F$65,"&gt;="&amp;D$4)+COUNTIFS('案件台帳'!$C$6:$C$65,$A8,'案件台帳'!$E$6:$E$65,"",'案件台帳'!$F$6:$F$65,"&gt;="&amp;D$4)&gt;0,"■",""))</f>
        <v/>
      </c>
      <c r="E8" s="29">
        <f>IF($A8="","",IF(COUNTIFS('案件台帳'!$C$6:$C$65,$A8,'案件台帳'!$E$6:$E$65,"&lt;="&amp;E$4,'案件台帳'!$F$6:$F$65,"&gt;="&amp;E$4)+COUNTIFS('案件台帳'!$C$6:$C$65,$A8,'案件台帳'!$E$6:$E$65,"",'案件台帳'!$F$6:$F$65,"&gt;="&amp;E$4)&gt;0,"■",""))</f>
        <v/>
      </c>
      <c r="F8" s="29">
        <f>IF($A8="","",IF(COUNTIFS('案件台帳'!$C$6:$C$65,$A8,'案件台帳'!$E$6:$E$65,"&lt;="&amp;F$4,'案件台帳'!$F$6:$F$65,"&gt;="&amp;F$4)+COUNTIFS('案件台帳'!$C$6:$C$65,$A8,'案件台帳'!$E$6:$E$65,"",'案件台帳'!$F$6:$F$65,"&gt;="&amp;F$4)&gt;0,"■",""))</f>
        <v/>
      </c>
      <c r="G8" s="29">
        <f>IF($A8="","",IF(COUNTIFS('案件台帳'!$C$6:$C$65,$A8,'案件台帳'!$E$6:$E$65,"&lt;="&amp;G$4,'案件台帳'!$F$6:$F$65,"&gt;="&amp;G$4)+COUNTIFS('案件台帳'!$C$6:$C$65,$A8,'案件台帳'!$E$6:$E$65,"",'案件台帳'!$F$6:$F$65,"&gt;="&amp;G$4)&gt;0,"■",""))</f>
        <v/>
      </c>
      <c r="H8" s="29">
        <f>IF($A8="","",IF(COUNTIFS('案件台帳'!$C$6:$C$65,$A8,'案件台帳'!$E$6:$E$65,"&lt;="&amp;H$4,'案件台帳'!$F$6:$F$65,"&gt;="&amp;H$4)+COUNTIFS('案件台帳'!$C$6:$C$65,$A8,'案件台帳'!$E$6:$E$65,"",'案件台帳'!$F$6:$F$65,"&gt;="&amp;H$4)&gt;0,"■",""))</f>
        <v/>
      </c>
      <c r="I8" s="29">
        <f>IF($A8="","",IF(COUNTIFS('案件台帳'!$C$6:$C$65,$A8,'案件台帳'!$E$6:$E$65,"&lt;="&amp;I$4,'案件台帳'!$F$6:$F$65,"&gt;="&amp;I$4)+COUNTIFS('案件台帳'!$C$6:$C$65,$A8,'案件台帳'!$E$6:$E$65,"",'案件台帳'!$F$6:$F$65,"&gt;="&amp;I$4)&gt;0,"■",""))</f>
        <v/>
      </c>
      <c r="J8" s="29">
        <f>IF($A8="","",IF(COUNTIFS('案件台帳'!$C$6:$C$65,$A8,'案件台帳'!$E$6:$E$65,"&lt;="&amp;J$4,'案件台帳'!$F$6:$F$65,"&gt;="&amp;J$4)+COUNTIFS('案件台帳'!$C$6:$C$65,$A8,'案件台帳'!$E$6:$E$65,"",'案件台帳'!$F$6:$F$65,"&gt;="&amp;J$4)&gt;0,"■",""))</f>
        <v/>
      </c>
      <c r="K8" s="29">
        <f>IF($A8="","",IF(COUNTIFS('案件台帳'!$C$6:$C$65,$A8,'案件台帳'!$E$6:$E$65,"&lt;="&amp;K$4,'案件台帳'!$F$6:$F$65,"&gt;="&amp;K$4)+COUNTIFS('案件台帳'!$C$6:$C$65,$A8,'案件台帳'!$E$6:$E$65,"",'案件台帳'!$F$6:$F$65,"&gt;="&amp;K$4)&gt;0,"■",""))</f>
        <v/>
      </c>
      <c r="L8" s="29">
        <f>IF($A8="","",IF(COUNTIFS('案件台帳'!$C$6:$C$65,$A8,'案件台帳'!$E$6:$E$65,"&lt;="&amp;L$4,'案件台帳'!$F$6:$F$65,"&gt;="&amp;L$4)+COUNTIFS('案件台帳'!$C$6:$C$65,$A8,'案件台帳'!$E$6:$E$65,"",'案件台帳'!$F$6:$F$65,"&gt;="&amp;L$4)&gt;0,"■",""))</f>
        <v/>
      </c>
      <c r="M8" s="29">
        <f>IF($A8="","",IF(COUNTIFS('案件台帳'!$C$6:$C$65,$A8,'案件台帳'!$E$6:$E$65,"&lt;="&amp;M$4,'案件台帳'!$F$6:$F$65,"&gt;="&amp;M$4)+COUNTIFS('案件台帳'!$C$6:$C$65,$A8,'案件台帳'!$E$6:$E$65,"",'案件台帳'!$F$6:$F$65,"&gt;="&amp;M$4)&gt;0,"■",""))</f>
        <v/>
      </c>
      <c r="N8" s="29">
        <f>IF($A8="","",IF(COUNTIFS('案件台帳'!$C$6:$C$65,$A8,'案件台帳'!$E$6:$E$65,"&lt;="&amp;N$4,'案件台帳'!$F$6:$F$65,"&gt;="&amp;N$4)+COUNTIFS('案件台帳'!$C$6:$C$65,$A8,'案件台帳'!$E$6:$E$65,"",'案件台帳'!$F$6:$F$65,"&gt;="&amp;N$4)&gt;0,"■",""))</f>
        <v/>
      </c>
      <c r="O8" s="29">
        <f>IF($A8="","",IF(COUNTIFS('案件台帳'!$C$6:$C$65,$A8,'案件台帳'!$E$6:$E$65,"&lt;="&amp;O$4,'案件台帳'!$F$6:$F$65,"&gt;="&amp;O$4)+COUNTIFS('案件台帳'!$C$6:$C$65,$A8,'案件台帳'!$E$6:$E$65,"",'案件台帳'!$F$6:$F$65,"&gt;="&amp;O$4)&gt;0,"■",""))</f>
        <v/>
      </c>
      <c r="P8" s="29">
        <f>IF($A8="","",IF(COUNTIFS('案件台帳'!$C$6:$C$65,$A8,'案件台帳'!$E$6:$E$65,"&lt;="&amp;P$4,'案件台帳'!$F$6:$F$65,"&gt;="&amp;P$4)+COUNTIFS('案件台帳'!$C$6:$C$65,$A8,'案件台帳'!$E$6:$E$65,"",'案件台帳'!$F$6:$F$65,"&gt;="&amp;P$4)&gt;0,"■",""))</f>
        <v/>
      </c>
      <c r="Q8" s="29">
        <f>IF($A8="","",IF(COUNTIFS('案件台帳'!$C$6:$C$65,$A8,'案件台帳'!$E$6:$E$65,"&lt;="&amp;Q$4,'案件台帳'!$F$6:$F$65,"&gt;="&amp;Q$4)+COUNTIFS('案件台帳'!$C$6:$C$65,$A8,'案件台帳'!$E$6:$E$65,"",'案件台帳'!$F$6:$F$65,"&gt;="&amp;Q$4)&gt;0,"■",""))</f>
        <v/>
      </c>
      <c r="R8" s="29">
        <f>IF($A8="","",IF(COUNTIFS('案件台帳'!$C$6:$C$65,$A8,'案件台帳'!$E$6:$E$65,"&lt;="&amp;R$4,'案件台帳'!$F$6:$F$65,"&gt;="&amp;R$4)+COUNTIFS('案件台帳'!$C$6:$C$65,$A8,'案件台帳'!$E$6:$E$65,"",'案件台帳'!$F$6:$F$65,"&gt;="&amp;R$4)&gt;0,"■",""))</f>
        <v/>
      </c>
      <c r="S8" s="29">
        <f>IF($A8="","",IF(COUNTIFS('案件台帳'!$C$6:$C$65,$A8,'案件台帳'!$E$6:$E$65,"&lt;="&amp;S$4,'案件台帳'!$F$6:$F$65,"&gt;="&amp;S$4)+COUNTIFS('案件台帳'!$C$6:$C$65,$A8,'案件台帳'!$E$6:$E$65,"",'案件台帳'!$F$6:$F$65,"&gt;="&amp;S$4)&gt;0,"■",""))</f>
        <v/>
      </c>
      <c r="T8" s="29">
        <f>IF($A8="","",IF(COUNTIFS('案件台帳'!$C$6:$C$65,$A8,'案件台帳'!$E$6:$E$65,"&lt;="&amp;T$4,'案件台帳'!$F$6:$F$65,"&gt;="&amp;T$4)+COUNTIFS('案件台帳'!$C$6:$C$65,$A8,'案件台帳'!$E$6:$E$65,"",'案件台帳'!$F$6:$F$65,"&gt;="&amp;T$4)&gt;0,"■",""))</f>
        <v/>
      </c>
      <c r="U8" s="29">
        <f>IF($A8="","",IF(COUNTIFS('案件台帳'!$C$6:$C$65,$A8,'案件台帳'!$E$6:$E$65,"&lt;="&amp;U$4,'案件台帳'!$F$6:$F$65,"&gt;="&amp;U$4)+COUNTIFS('案件台帳'!$C$6:$C$65,$A8,'案件台帳'!$E$6:$E$65,"",'案件台帳'!$F$6:$F$65,"&gt;="&amp;U$4)&gt;0,"■",""))</f>
        <v/>
      </c>
      <c r="V8" s="29">
        <f>IF($A8="","",IF(COUNTIFS('案件台帳'!$C$6:$C$65,$A8,'案件台帳'!$E$6:$E$65,"&lt;="&amp;V$4,'案件台帳'!$F$6:$F$65,"&gt;="&amp;V$4)+COUNTIFS('案件台帳'!$C$6:$C$65,$A8,'案件台帳'!$E$6:$E$65,"",'案件台帳'!$F$6:$F$65,"&gt;="&amp;V$4)&gt;0,"■",""))</f>
        <v/>
      </c>
      <c r="W8" s="29">
        <f>IF($A8="","",IF(COUNTIFS('案件台帳'!$C$6:$C$65,$A8,'案件台帳'!$E$6:$E$65,"&lt;="&amp;W$4,'案件台帳'!$F$6:$F$65,"&gt;="&amp;W$4)+COUNTIFS('案件台帳'!$C$6:$C$65,$A8,'案件台帳'!$E$6:$E$65,"",'案件台帳'!$F$6:$F$65,"&gt;="&amp;W$4)&gt;0,"■",""))</f>
        <v/>
      </c>
      <c r="X8" s="29">
        <f>IF($A8="","",IF(COUNTIFS('案件台帳'!$C$6:$C$65,$A8,'案件台帳'!$E$6:$E$65,"&lt;="&amp;X$4,'案件台帳'!$F$6:$F$65,"&gt;="&amp;X$4)+COUNTIFS('案件台帳'!$C$6:$C$65,$A8,'案件台帳'!$E$6:$E$65,"",'案件台帳'!$F$6:$F$65,"&gt;="&amp;X$4)&gt;0,"■",""))</f>
        <v/>
      </c>
      <c r="Y8" s="29">
        <f>IF($A8="","",IF(COUNTIFS('案件台帳'!$C$6:$C$65,$A8,'案件台帳'!$E$6:$E$65,"&lt;="&amp;Y$4,'案件台帳'!$F$6:$F$65,"&gt;="&amp;Y$4)+COUNTIFS('案件台帳'!$C$6:$C$65,$A8,'案件台帳'!$E$6:$E$65,"",'案件台帳'!$F$6:$F$65,"&gt;="&amp;Y$4)&gt;0,"■",""))</f>
        <v/>
      </c>
      <c r="Z8" s="29">
        <f>IF($A8="","",IF(COUNTIFS('案件台帳'!$C$6:$C$65,$A8,'案件台帳'!$E$6:$E$65,"&lt;="&amp;Z$4,'案件台帳'!$F$6:$F$65,"&gt;="&amp;Z$4)+COUNTIFS('案件台帳'!$C$6:$C$65,$A8,'案件台帳'!$E$6:$E$65,"",'案件台帳'!$F$6:$F$65,"&gt;="&amp;Z$4)&gt;0,"■",""))</f>
        <v/>
      </c>
      <c r="AA8" s="29">
        <f>IF($A8="","",IF(COUNTIFS('案件台帳'!$C$6:$C$65,$A8,'案件台帳'!$E$6:$E$65,"&lt;="&amp;AA$4,'案件台帳'!$F$6:$F$65,"&gt;="&amp;AA$4)+COUNTIFS('案件台帳'!$C$6:$C$65,$A8,'案件台帳'!$E$6:$E$65,"",'案件台帳'!$F$6:$F$65,"&gt;="&amp;AA$4)&gt;0,"■",""))</f>
        <v/>
      </c>
      <c r="AB8" s="29">
        <f>IF($A8="","",IF(COUNTIFS('案件台帳'!$C$6:$C$65,$A8,'案件台帳'!$E$6:$E$65,"&lt;="&amp;AB$4,'案件台帳'!$F$6:$F$65,"&gt;="&amp;AB$4)+COUNTIFS('案件台帳'!$C$6:$C$65,$A8,'案件台帳'!$E$6:$E$65,"",'案件台帳'!$F$6:$F$65,"&gt;="&amp;AB$4)&gt;0,"■",""))</f>
        <v/>
      </c>
      <c r="AC8" s="29">
        <f>IF($A8="","",IF(COUNTIFS('案件台帳'!$C$6:$C$65,$A8,'案件台帳'!$E$6:$E$65,"&lt;="&amp;AC$4,'案件台帳'!$F$6:$F$65,"&gt;="&amp;AC$4)+COUNTIFS('案件台帳'!$C$6:$C$65,$A8,'案件台帳'!$E$6:$E$65,"",'案件台帳'!$F$6:$F$65,"&gt;="&amp;AC$4)&gt;0,"■",""))</f>
        <v/>
      </c>
      <c r="AD8" s="29">
        <f>IF($A8="","",IF(COUNTIFS('案件台帳'!$C$6:$C$65,$A8,'案件台帳'!$E$6:$E$65,"&lt;="&amp;AD$4,'案件台帳'!$F$6:$F$65,"&gt;="&amp;AD$4)+COUNTIFS('案件台帳'!$C$6:$C$65,$A8,'案件台帳'!$E$6:$E$65,"",'案件台帳'!$F$6:$F$65,"&gt;="&amp;AD$4)&gt;0,"■",""))</f>
        <v/>
      </c>
      <c r="AE8" s="29">
        <f>IF($A8="","",IF(COUNTIFS('案件台帳'!$C$6:$C$65,$A8,'案件台帳'!$E$6:$E$65,"&lt;="&amp;AE$4,'案件台帳'!$F$6:$F$65,"&gt;="&amp;AE$4)+COUNTIFS('案件台帳'!$C$6:$C$65,$A8,'案件台帳'!$E$6:$E$65,"",'案件台帳'!$F$6:$F$65,"&gt;="&amp;AE$4)&gt;0,"■",""))</f>
        <v/>
      </c>
      <c r="AF8" s="29">
        <f>IF($A8="","",IF(COUNTIFS('案件台帳'!$C$6:$C$65,$A8,'案件台帳'!$E$6:$E$65,"&lt;="&amp;AF$4,'案件台帳'!$F$6:$F$65,"&gt;="&amp;AF$4)+COUNTIFS('案件台帳'!$C$6:$C$65,$A8,'案件台帳'!$E$6:$E$65,"",'案件台帳'!$F$6:$F$65,"&gt;="&amp;AF$4)&gt;0,"■",""))</f>
        <v/>
      </c>
      <c r="AG8" s="29">
        <f>IF($A8="","",IF(COUNTIFS('案件台帳'!$C$6:$C$65,$A8,'案件台帳'!$E$6:$E$65,"&lt;="&amp;AG$4,'案件台帳'!$F$6:$F$65,"&gt;="&amp;AG$4)+COUNTIFS('案件台帳'!$C$6:$C$65,$A8,'案件台帳'!$E$6:$E$65,"",'案件台帳'!$F$6:$F$65,"&gt;="&amp;AG$4)&gt;0,"■",""))</f>
        <v/>
      </c>
      <c r="AH8" s="29">
        <f>IF($A8="","",IF(COUNTIFS('案件台帳'!$C$6:$C$65,$A8,'案件台帳'!$E$6:$E$65,"&lt;="&amp;AH$4,'案件台帳'!$F$6:$F$65,"&gt;="&amp;AH$4)+COUNTIFS('案件台帳'!$C$6:$C$65,$A8,'案件台帳'!$E$6:$E$65,"",'案件台帳'!$F$6:$F$65,"&gt;="&amp;AH$4)&gt;0,"■",""))</f>
        <v/>
      </c>
      <c r="AI8" s="29">
        <f>IF($A8="","",IF(COUNTIFS('案件台帳'!$C$6:$C$65,$A8,'案件台帳'!$E$6:$E$65,"&lt;="&amp;AI$4,'案件台帳'!$F$6:$F$65,"&gt;="&amp;AI$4)+COUNTIFS('案件台帳'!$C$6:$C$65,$A8,'案件台帳'!$E$6:$E$65,"",'案件台帳'!$F$6:$F$65,"&gt;="&amp;AI$4)&gt;0,"■",""))</f>
        <v/>
      </c>
      <c r="AJ8" s="29">
        <f>IF($A8="","",IF(COUNTIFS('案件台帳'!$C$6:$C$65,$A8,'案件台帳'!$E$6:$E$65,"&lt;="&amp;AJ$4,'案件台帳'!$F$6:$F$65,"&gt;="&amp;AJ$4)+COUNTIFS('案件台帳'!$C$6:$C$65,$A8,'案件台帳'!$E$6:$E$65,"",'案件台帳'!$F$6:$F$65,"&gt;="&amp;AJ$4)&gt;0,"■",""))</f>
        <v/>
      </c>
      <c r="AK8" s="29">
        <f>IF($A8="","",IF(COUNTIFS('案件台帳'!$C$6:$C$65,$A8,'案件台帳'!$E$6:$E$65,"&lt;="&amp;AK$4,'案件台帳'!$F$6:$F$65,"&gt;="&amp;AK$4)+COUNTIFS('案件台帳'!$C$6:$C$65,$A8,'案件台帳'!$E$6:$E$65,"",'案件台帳'!$F$6:$F$65,"&gt;="&amp;AK$4)&gt;0,"■",""))</f>
        <v/>
      </c>
      <c r="AL8" s="29">
        <f>IF($A8="","",IF(COUNTIFS('案件台帳'!$C$6:$C$65,$A8,'案件台帳'!$E$6:$E$65,"&lt;="&amp;AL$4,'案件台帳'!$F$6:$F$65,"&gt;="&amp;AL$4)+COUNTIFS('案件台帳'!$C$6:$C$65,$A8,'案件台帳'!$E$6:$E$65,"",'案件台帳'!$F$6:$F$65,"&gt;="&amp;AL$4)&gt;0,"■",""))</f>
        <v/>
      </c>
      <c r="AM8" s="29">
        <f>IF($A8="","",IF(COUNTIFS('案件台帳'!$C$6:$C$65,$A8,'案件台帳'!$E$6:$E$65,"&lt;="&amp;AM$4,'案件台帳'!$F$6:$F$65,"&gt;="&amp;AM$4)+COUNTIFS('案件台帳'!$C$6:$C$65,$A8,'案件台帳'!$E$6:$E$65,"",'案件台帳'!$F$6:$F$65,"&gt;="&amp;AM$4)&gt;0,"■",""))</f>
        <v/>
      </c>
      <c r="AN8" s="29">
        <f>IF($A8="","",IF(COUNTIFS('案件台帳'!$C$6:$C$65,$A8,'案件台帳'!$E$6:$E$65,"&lt;="&amp;AN$4,'案件台帳'!$F$6:$F$65,"&gt;="&amp;AN$4)+COUNTIFS('案件台帳'!$C$6:$C$65,$A8,'案件台帳'!$E$6:$E$65,"",'案件台帳'!$F$6:$F$65,"&gt;="&amp;AN$4)&gt;0,"■",""))</f>
        <v/>
      </c>
      <c r="AO8" s="29">
        <f>IF($A8="","",IF(COUNTIFS('案件台帳'!$C$6:$C$65,$A8,'案件台帳'!$E$6:$E$65,"&lt;="&amp;AO$4,'案件台帳'!$F$6:$F$65,"&gt;="&amp;AO$4)+COUNTIFS('案件台帳'!$C$6:$C$65,$A8,'案件台帳'!$E$6:$E$65,"",'案件台帳'!$F$6:$F$65,"&gt;="&amp;AO$4)&gt;0,"■",""))</f>
        <v/>
      </c>
      <c r="AP8" s="29">
        <f>IF($A8="","",IF(COUNTIFS('案件台帳'!$C$6:$C$65,$A8,'案件台帳'!$E$6:$E$65,"&lt;="&amp;AP$4,'案件台帳'!$F$6:$F$65,"&gt;="&amp;AP$4)+COUNTIFS('案件台帳'!$C$6:$C$65,$A8,'案件台帳'!$E$6:$E$65,"",'案件台帳'!$F$6:$F$65,"&gt;="&amp;AP$4)&gt;0,"■",""))</f>
        <v/>
      </c>
      <c r="AQ8" s="29">
        <f>IF($A8="","",IF(COUNTIFS('案件台帳'!$C$6:$C$65,$A8,'案件台帳'!$E$6:$E$65,"&lt;="&amp;AQ$4,'案件台帳'!$F$6:$F$65,"&gt;="&amp;AQ$4)+COUNTIFS('案件台帳'!$C$6:$C$65,$A8,'案件台帳'!$E$6:$E$65,"",'案件台帳'!$F$6:$F$65,"&gt;="&amp;AQ$4)&gt;0,"■",""))</f>
        <v/>
      </c>
      <c r="AR8" s="29">
        <f>IF($A8="","",IF(COUNTIFS('案件台帳'!$C$6:$C$65,$A8,'案件台帳'!$E$6:$E$65,"&lt;="&amp;AR$4,'案件台帳'!$F$6:$F$65,"&gt;="&amp;AR$4)+COUNTIFS('案件台帳'!$C$6:$C$65,$A8,'案件台帳'!$E$6:$E$65,"",'案件台帳'!$F$6:$F$65,"&gt;="&amp;AR$4)&gt;0,"■",""))</f>
        <v/>
      </c>
      <c r="AS8" s="29">
        <f>IF($A8="","",IF(COUNTIFS('案件台帳'!$C$6:$C$65,$A8,'案件台帳'!$E$6:$E$65,"&lt;="&amp;AS$4,'案件台帳'!$F$6:$F$65,"&gt;="&amp;AS$4)+COUNTIFS('案件台帳'!$C$6:$C$65,$A8,'案件台帳'!$E$6:$E$65,"",'案件台帳'!$F$6:$F$65,"&gt;="&amp;AS$4)&gt;0,"■",""))</f>
        <v/>
      </c>
      <c r="AT8" s="29">
        <f>IF($A8="","",IF(COUNTIFS('案件台帳'!$C$6:$C$65,$A8,'案件台帳'!$E$6:$E$65,"&lt;="&amp;AT$4,'案件台帳'!$F$6:$F$65,"&gt;="&amp;AT$4)+COUNTIFS('案件台帳'!$C$6:$C$65,$A8,'案件台帳'!$E$6:$E$65,"",'案件台帳'!$F$6:$F$65,"&gt;="&amp;AT$4)&gt;0,"■",""))</f>
        <v/>
      </c>
      <c r="AU8" s="29">
        <f>IF($A8="","",IF(COUNTIFS('案件台帳'!$C$6:$C$65,$A8,'案件台帳'!$E$6:$E$65,"&lt;="&amp;AU$4,'案件台帳'!$F$6:$F$65,"&gt;="&amp;AU$4)+COUNTIFS('案件台帳'!$C$6:$C$65,$A8,'案件台帳'!$E$6:$E$65,"",'案件台帳'!$F$6:$F$65,"&gt;="&amp;AU$4)&gt;0,"■",""))</f>
        <v/>
      </c>
      <c r="AV8" s="29">
        <f>IF($A8="","",IF(COUNTIFS('案件台帳'!$C$6:$C$65,$A8,'案件台帳'!$E$6:$E$65,"&lt;="&amp;AV$4,'案件台帳'!$F$6:$F$65,"&gt;="&amp;AV$4)+COUNTIFS('案件台帳'!$C$6:$C$65,$A8,'案件台帳'!$E$6:$E$65,"",'案件台帳'!$F$6:$F$65,"&gt;="&amp;AV$4)&gt;0,"■",""))</f>
        <v/>
      </c>
      <c r="AW8" s="29">
        <f>IF($A8="","",IF(COUNTIFS('案件台帳'!$C$6:$C$65,$A8,'案件台帳'!$E$6:$E$65,"&lt;="&amp;AW$4,'案件台帳'!$F$6:$F$65,"&gt;="&amp;AW$4)+COUNTIFS('案件台帳'!$C$6:$C$65,$A8,'案件台帳'!$E$6:$E$65,"",'案件台帳'!$F$6:$F$65,"&gt;="&amp;AW$4)&gt;0,"■",""))</f>
        <v/>
      </c>
      <c r="AX8" s="29">
        <f>IF($A8="","",IF(COUNTIFS('案件台帳'!$C$6:$C$65,$A8,'案件台帳'!$E$6:$E$65,"&lt;="&amp;AX$4,'案件台帳'!$F$6:$F$65,"&gt;="&amp;AX$4)+COUNTIFS('案件台帳'!$C$6:$C$65,$A8,'案件台帳'!$E$6:$E$65,"",'案件台帳'!$F$6:$F$65,"&gt;="&amp;AX$4)&gt;0,"■",""))</f>
        <v/>
      </c>
      <c r="AY8" s="29">
        <f>IF($A8="","",IF(COUNTIFS('案件台帳'!$C$6:$C$65,$A8,'案件台帳'!$E$6:$E$65,"&lt;="&amp;AY$4,'案件台帳'!$F$6:$F$65,"&gt;="&amp;AY$4)+COUNTIFS('案件台帳'!$C$6:$C$65,$A8,'案件台帳'!$E$6:$E$65,"",'案件台帳'!$F$6:$F$65,"&gt;="&amp;AY$4)&gt;0,"■",""))</f>
        <v/>
      </c>
      <c r="AZ8" s="29">
        <f>IF($A8="","",IF(COUNTIFS('案件台帳'!$C$6:$C$65,$A8,'案件台帳'!$E$6:$E$65,"&lt;="&amp;AZ$4,'案件台帳'!$F$6:$F$65,"&gt;="&amp;AZ$4)+COUNTIFS('案件台帳'!$C$6:$C$65,$A8,'案件台帳'!$E$6:$E$65,"",'案件台帳'!$F$6:$F$65,"&gt;="&amp;AZ$4)&gt;0,"■",""))</f>
        <v/>
      </c>
      <c r="BA8" s="29">
        <f>IF($A8="","",IF(COUNTIFS('案件台帳'!$C$6:$C$65,$A8,'案件台帳'!$E$6:$E$65,"&lt;="&amp;BA$4,'案件台帳'!$F$6:$F$65,"&gt;="&amp;BA$4)+COUNTIFS('案件台帳'!$C$6:$C$65,$A8,'案件台帳'!$E$6:$E$65,"",'案件台帳'!$F$6:$F$65,"&gt;="&amp;BA$4)&gt;0,"■",""))</f>
        <v/>
      </c>
      <c r="BB8" s="29">
        <f>IF($A8="","",IF(COUNTIFS('案件台帳'!$C$6:$C$65,$A8,'案件台帳'!$E$6:$E$65,"&lt;="&amp;BB$4,'案件台帳'!$F$6:$F$65,"&gt;="&amp;BB$4)+COUNTIFS('案件台帳'!$C$6:$C$65,$A8,'案件台帳'!$E$6:$E$65,"",'案件台帳'!$F$6:$F$65,"&gt;="&amp;BB$4)&gt;0,"■",""))</f>
        <v/>
      </c>
      <c r="BC8" s="29">
        <f>IF($A8="","",IF(COUNTIFS('案件台帳'!$C$6:$C$65,$A8,'案件台帳'!$E$6:$E$65,"&lt;="&amp;BC$4,'案件台帳'!$F$6:$F$65,"&gt;="&amp;BC$4)+COUNTIFS('案件台帳'!$C$6:$C$65,$A8,'案件台帳'!$E$6:$E$65,"",'案件台帳'!$F$6:$F$65,"&gt;="&amp;BC$4)&gt;0,"■",""))</f>
        <v/>
      </c>
      <c r="BD8" s="29">
        <f>IF($A8="","",IF(COUNTIFS('案件台帳'!$C$6:$C$65,$A8,'案件台帳'!$E$6:$E$65,"&lt;="&amp;BD$4,'案件台帳'!$F$6:$F$65,"&gt;="&amp;BD$4)+COUNTIFS('案件台帳'!$C$6:$C$65,$A8,'案件台帳'!$E$6:$E$65,"",'案件台帳'!$F$6:$F$65,"&gt;="&amp;BD$4)&gt;0,"■",""))</f>
        <v/>
      </c>
      <c r="BE8" s="29">
        <f>IF($A8="","",IF(COUNTIFS('案件台帳'!$C$6:$C$65,$A8,'案件台帳'!$E$6:$E$65,"&lt;="&amp;BE$4,'案件台帳'!$F$6:$F$65,"&gt;="&amp;BE$4)+COUNTIFS('案件台帳'!$C$6:$C$65,$A8,'案件台帳'!$E$6:$E$65,"",'案件台帳'!$F$6:$F$65,"&gt;="&amp;BE$4)&gt;0,"■",""))</f>
        <v/>
      </c>
      <c r="BF8" s="29">
        <f>IF($A8="","",IF(COUNTIFS('案件台帳'!$C$6:$C$65,$A8,'案件台帳'!$E$6:$E$65,"&lt;="&amp;BF$4,'案件台帳'!$F$6:$F$65,"&gt;="&amp;BF$4)+COUNTIFS('案件台帳'!$C$6:$C$65,$A8,'案件台帳'!$E$6:$E$65,"",'案件台帳'!$F$6:$F$65,"&gt;="&amp;BF$4)&gt;0,"■",""))</f>
        <v/>
      </c>
      <c r="BG8" s="29">
        <f>IF($A8="","",IF(COUNTIFS('案件台帳'!$C$6:$C$65,$A8,'案件台帳'!$E$6:$E$65,"&lt;="&amp;BG$4,'案件台帳'!$F$6:$F$65,"&gt;="&amp;BG$4)+COUNTIFS('案件台帳'!$C$6:$C$65,$A8,'案件台帳'!$E$6:$E$65,"",'案件台帳'!$F$6:$F$65,"&gt;="&amp;BG$4)&gt;0,"■",""))</f>
        <v/>
      </c>
      <c r="BH8" s="29">
        <f>IF($A8="","",IF(COUNTIFS('案件台帳'!$C$6:$C$65,$A8,'案件台帳'!$E$6:$E$65,"&lt;="&amp;BH$4,'案件台帳'!$F$6:$F$65,"&gt;="&amp;BH$4)+COUNTIFS('案件台帳'!$C$6:$C$65,$A8,'案件台帳'!$E$6:$E$65,"",'案件台帳'!$F$6:$F$65,"&gt;="&amp;BH$4)&gt;0,"■",""))</f>
        <v/>
      </c>
      <c r="BI8" s="29">
        <f>IF($A8="","",IF(COUNTIFS('案件台帳'!$C$6:$C$65,$A8,'案件台帳'!$E$6:$E$65,"&lt;="&amp;BI$4,'案件台帳'!$F$6:$F$65,"&gt;="&amp;BI$4)+COUNTIFS('案件台帳'!$C$6:$C$65,$A8,'案件台帳'!$E$6:$E$65,"",'案件台帳'!$F$6:$F$65,"&gt;="&amp;BI$4)&gt;0,"■",""))</f>
        <v/>
      </c>
      <c r="BJ8" s="29">
        <f>IF($A8="","",IF(COUNTIFS('案件台帳'!$C$6:$C$65,$A8,'案件台帳'!$E$6:$E$65,"&lt;="&amp;BJ$4,'案件台帳'!$F$6:$F$65,"&gt;="&amp;BJ$4)+COUNTIFS('案件台帳'!$C$6:$C$65,$A8,'案件台帳'!$E$6:$E$65,"",'案件台帳'!$F$6:$F$65,"&gt;="&amp;BJ$4)&gt;0,"■",""))</f>
        <v/>
      </c>
      <c r="BK8" s="29">
        <f>IF($A8="","",IF(COUNTIFS('案件台帳'!$C$6:$C$65,$A8,'案件台帳'!$E$6:$E$65,"&lt;="&amp;BK$4,'案件台帳'!$F$6:$F$65,"&gt;="&amp;BK$4)+COUNTIFS('案件台帳'!$C$6:$C$65,$A8,'案件台帳'!$E$6:$E$65,"",'案件台帳'!$F$6:$F$65,"&gt;="&amp;BK$4)&gt;0,"■",""))</f>
        <v/>
      </c>
      <c r="BL8" s="29">
        <f>IF($A8="","",IF(COUNTIFS('案件台帳'!$C$6:$C$65,$A8,'案件台帳'!$E$6:$E$65,"&lt;="&amp;BL$4,'案件台帳'!$F$6:$F$65,"&gt;="&amp;BL$4)+COUNTIFS('案件台帳'!$C$6:$C$65,$A8,'案件台帳'!$E$6:$E$65,"",'案件台帳'!$F$6:$F$65,"&gt;="&amp;BL$4)&gt;0,"■",""))</f>
        <v/>
      </c>
    </row>
    <row r="9">
      <c r="A9" s="24">
        <f>IF(職人ダッシュボード!$A$8="","",職人ダッシュボード!$A$8)</f>
        <v/>
      </c>
      <c r="B9" s="29">
        <f>IF($A9="","",IF(COUNTIFS('案件台帳'!$C$6:$C$65,$A9,'案件台帳'!$E$6:$E$65,"&lt;="&amp;B$4,'案件台帳'!$F$6:$F$65,"&gt;="&amp;B$4)+COUNTIFS('案件台帳'!$C$6:$C$65,$A9,'案件台帳'!$E$6:$E$65,"",'案件台帳'!$F$6:$F$65,"&gt;="&amp;B$4)&gt;0,"■",""))</f>
        <v/>
      </c>
      <c r="C9" s="29">
        <f>IF($A9="","",IF(COUNTIFS('案件台帳'!$C$6:$C$65,$A9,'案件台帳'!$E$6:$E$65,"&lt;="&amp;C$4,'案件台帳'!$F$6:$F$65,"&gt;="&amp;C$4)+COUNTIFS('案件台帳'!$C$6:$C$65,$A9,'案件台帳'!$E$6:$E$65,"",'案件台帳'!$F$6:$F$65,"&gt;="&amp;C$4)&gt;0,"■",""))</f>
        <v/>
      </c>
      <c r="D9" s="29">
        <f>IF($A9="","",IF(COUNTIFS('案件台帳'!$C$6:$C$65,$A9,'案件台帳'!$E$6:$E$65,"&lt;="&amp;D$4,'案件台帳'!$F$6:$F$65,"&gt;="&amp;D$4)+COUNTIFS('案件台帳'!$C$6:$C$65,$A9,'案件台帳'!$E$6:$E$65,"",'案件台帳'!$F$6:$F$65,"&gt;="&amp;D$4)&gt;0,"■",""))</f>
        <v/>
      </c>
      <c r="E9" s="29">
        <f>IF($A9="","",IF(COUNTIFS('案件台帳'!$C$6:$C$65,$A9,'案件台帳'!$E$6:$E$65,"&lt;="&amp;E$4,'案件台帳'!$F$6:$F$65,"&gt;="&amp;E$4)+COUNTIFS('案件台帳'!$C$6:$C$65,$A9,'案件台帳'!$E$6:$E$65,"",'案件台帳'!$F$6:$F$65,"&gt;="&amp;E$4)&gt;0,"■",""))</f>
        <v/>
      </c>
      <c r="F9" s="29">
        <f>IF($A9="","",IF(COUNTIFS('案件台帳'!$C$6:$C$65,$A9,'案件台帳'!$E$6:$E$65,"&lt;="&amp;F$4,'案件台帳'!$F$6:$F$65,"&gt;="&amp;F$4)+COUNTIFS('案件台帳'!$C$6:$C$65,$A9,'案件台帳'!$E$6:$E$65,"",'案件台帳'!$F$6:$F$65,"&gt;="&amp;F$4)&gt;0,"■",""))</f>
        <v/>
      </c>
      <c r="G9" s="29">
        <f>IF($A9="","",IF(COUNTIFS('案件台帳'!$C$6:$C$65,$A9,'案件台帳'!$E$6:$E$65,"&lt;="&amp;G$4,'案件台帳'!$F$6:$F$65,"&gt;="&amp;G$4)+COUNTIFS('案件台帳'!$C$6:$C$65,$A9,'案件台帳'!$E$6:$E$65,"",'案件台帳'!$F$6:$F$65,"&gt;="&amp;G$4)&gt;0,"■",""))</f>
        <v/>
      </c>
      <c r="H9" s="29">
        <f>IF($A9="","",IF(COUNTIFS('案件台帳'!$C$6:$C$65,$A9,'案件台帳'!$E$6:$E$65,"&lt;="&amp;H$4,'案件台帳'!$F$6:$F$65,"&gt;="&amp;H$4)+COUNTIFS('案件台帳'!$C$6:$C$65,$A9,'案件台帳'!$E$6:$E$65,"",'案件台帳'!$F$6:$F$65,"&gt;="&amp;H$4)&gt;0,"■",""))</f>
        <v/>
      </c>
      <c r="I9" s="29">
        <f>IF($A9="","",IF(COUNTIFS('案件台帳'!$C$6:$C$65,$A9,'案件台帳'!$E$6:$E$65,"&lt;="&amp;I$4,'案件台帳'!$F$6:$F$65,"&gt;="&amp;I$4)+COUNTIFS('案件台帳'!$C$6:$C$65,$A9,'案件台帳'!$E$6:$E$65,"",'案件台帳'!$F$6:$F$65,"&gt;="&amp;I$4)&gt;0,"■",""))</f>
        <v/>
      </c>
      <c r="J9" s="29">
        <f>IF($A9="","",IF(COUNTIFS('案件台帳'!$C$6:$C$65,$A9,'案件台帳'!$E$6:$E$65,"&lt;="&amp;J$4,'案件台帳'!$F$6:$F$65,"&gt;="&amp;J$4)+COUNTIFS('案件台帳'!$C$6:$C$65,$A9,'案件台帳'!$E$6:$E$65,"",'案件台帳'!$F$6:$F$65,"&gt;="&amp;J$4)&gt;0,"■",""))</f>
        <v/>
      </c>
      <c r="K9" s="29">
        <f>IF($A9="","",IF(COUNTIFS('案件台帳'!$C$6:$C$65,$A9,'案件台帳'!$E$6:$E$65,"&lt;="&amp;K$4,'案件台帳'!$F$6:$F$65,"&gt;="&amp;K$4)+COUNTIFS('案件台帳'!$C$6:$C$65,$A9,'案件台帳'!$E$6:$E$65,"",'案件台帳'!$F$6:$F$65,"&gt;="&amp;K$4)&gt;0,"■",""))</f>
        <v/>
      </c>
      <c r="L9" s="29">
        <f>IF($A9="","",IF(COUNTIFS('案件台帳'!$C$6:$C$65,$A9,'案件台帳'!$E$6:$E$65,"&lt;="&amp;L$4,'案件台帳'!$F$6:$F$65,"&gt;="&amp;L$4)+COUNTIFS('案件台帳'!$C$6:$C$65,$A9,'案件台帳'!$E$6:$E$65,"",'案件台帳'!$F$6:$F$65,"&gt;="&amp;L$4)&gt;0,"■",""))</f>
        <v/>
      </c>
      <c r="M9" s="29">
        <f>IF($A9="","",IF(COUNTIFS('案件台帳'!$C$6:$C$65,$A9,'案件台帳'!$E$6:$E$65,"&lt;="&amp;M$4,'案件台帳'!$F$6:$F$65,"&gt;="&amp;M$4)+COUNTIFS('案件台帳'!$C$6:$C$65,$A9,'案件台帳'!$E$6:$E$65,"",'案件台帳'!$F$6:$F$65,"&gt;="&amp;M$4)&gt;0,"■",""))</f>
        <v/>
      </c>
      <c r="N9" s="29">
        <f>IF($A9="","",IF(COUNTIFS('案件台帳'!$C$6:$C$65,$A9,'案件台帳'!$E$6:$E$65,"&lt;="&amp;N$4,'案件台帳'!$F$6:$F$65,"&gt;="&amp;N$4)+COUNTIFS('案件台帳'!$C$6:$C$65,$A9,'案件台帳'!$E$6:$E$65,"",'案件台帳'!$F$6:$F$65,"&gt;="&amp;N$4)&gt;0,"■",""))</f>
        <v/>
      </c>
      <c r="O9" s="29">
        <f>IF($A9="","",IF(COUNTIFS('案件台帳'!$C$6:$C$65,$A9,'案件台帳'!$E$6:$E$65,"&lt;="&amp;O$4,'案件台帳'!$F$6:$F$65,"&gt;="&amp;O$4)+COUNTIFS('案件台帳'!$C$6:$C$65,$A9,'案件台帳'!$E$6:$E$65,"",'案件台帳'!$F$6:$F$65,"&gt;="&amp;O$4)&gt;0,"■",""))</f>
        <v/>
      </c>
      <c r="P9" s="29">
        <f>IF($A9="","",IF(COUNTIFS('案件台帳'!$C$6:$C$65,$A9,'案件台帳'!$E$6:$E$65,"&lt;="&amp;P$4,'案件台帳'!$F$6:$F$65,"&gt;="&amp;P$4)+COUNTIFS('案件台帳'!$C$6:$C$65,$A9,'案件台帳'!$E$6:$E$65,"",'案件台帳'!$F$6:$F$65,"&gt;="&amp;P$4)&gt;0,"■",""))</f>
        <v/>
      </c>
      <c r="Q9" s="29">
        <f>IF($A9="","",IF(COUNTIFS('案件台帳'!$C$6:$C$65,$A9,'案件台帳'!$E$6:$E$65,"&lt;="&amp;Q$4,'案件台帳'!$F$6:$F$65,"&gt;="&amp;Q$4)+COUNTIFS('案件台帳'!$C$6:$C$65,$A9,'案件台帳'!$E$6:$E$65,"",'案件台帳'!$F$6:$F$65,"&gt;="&amp;Q$4)&gt;0,"■",""))</f>
        <v/>
      </c>
      <c r="R9" s="29">
        <f>IF($A9="","",IF(COUNTIFS('案件台帳'!$C$6:$C$65,$A9,'案件台帳'!$E$6:$E$65,"&lt;="&amp;R$4,'案件台帳'!$F$6:$F$65,"&gt;="&amp;R$4)+COUNTIFS('案件台帳'!$C$6:$C$65,$A9,'案件台帳'!$E$6:$E$65,"",'案件台帳'!$F$6:$F$65,"&gt;="&amp;R$4)&gt;0,"■",""))</f>
        <v/>
      </c>
      <c r="S9" s="29">
        <f>IF($A9="","",IF(COUNTIFS('案件台帳'!$C$6:$C$65,$A9,'案件台帳'!$E$6:$E$65,"&lt;="&amp;S$4,'案件台帳'!$F$6:$F$65,"&gt;="&amp;S$4)+COUNTIFS('案件台帳'!$C$6:$C$65,$A9,'案件台帳'!$E$6:$E$65,"",'案件台帳'!$F$6:$F$65,"&gt;="&amp;S$4)&gt;0,"■",""))</f>
        <v/>
      </c>
      <c r="T9" s="29">
        <f>IF($A9="","",IF(COUNTIFS('案件台帳'!$C$6:$C$65,$A9,'案件台帳'!$E$6:$E$65,"&lt;="&amp;T$4,'案件台帳'!$F$6:$F$65,"&gt;="&amp;T$4)+COUNTIFS('案件台帳'!$C$6:$C$65,$A9,'案件台帳'!$E$6:$E$65,"",'案件台帳'!$F$6:$F$65,"&gt;="&amp;T$4)&gt;0,"■",""))</f>
        <v/>
      </c>
      <c r="U9" s="29">
        <f>IF($A9="","",IF(COUNTIFS('案件台帳'!$C$6:$C$65,$A9,'案件台帳'!$E$6:$E$65,"&lt;="&amp;U$4,'案件台帳'!$F$6:$F$65,"&gt;="&amp;U$4)+COUNTIFS('案件台帳'!$C$6:$C$65,$A9,'案件台帳'!$E$6:$E$65,"",'案件台帳'!$F$6:$F$65,"&gt;="&amp;U$4)&gt;0,"■",""))</f>
        <v/>
      </c>
      <c r="V9" s="29">
        <f>IF($A9="","",IF(COUNTIFS('案件台帳'!$C$6:$C$65,$A9,'案件台帳'!$E$6:$E$65,"&lt;="&amp;V$4,'案件台帳'!$F$6:$F$65,"&gt;="&amp;V$4)+COUNTIFS('案件台帳'!$C$6:$C$65,$A9,'案件台帳'!$E$6:$E$65,"",'案件台帳'!$F$6:$F$65,"&gt;="&amp;V$4)&gt;0,"■",""))</f>
        <v/>
      </c>
      <c r="W9" s="29">
        <f>IF($A9="","",IF(COUNTIFS('案件台帳'!$C$6:$C$65,$A9,'案件台帳'!$E$6:$E$65,"&lt;="&amp;W$4,'案件台帳'!$F$6:$F$65,"&gt;="&amp;W$4)+COUNTIFS('案件台帳'!$C$6:$C$65,$A9,'案件台帳'!$E$6:$E$65,"",'案件台帳'!$F$6:$F$65,"&gt;="&amp;W$4)&gt;0,"■",""))</f>
        <v/>
      </c>
      <c r="X9" s="29">
        <f>IF($A9="","",IF(COUNTIFS('案件台帳'!$C$6:$C$65,$A9,'案件台帳'!$E$6:$E$65,"&lt;="&amp;X$4,'案件台帳'!$F$6:$F$65,"&gt;="&amp;X$4)+COUNTIFS('案件台帳'!$C$6:$C$65,$A9,'案件台帳'!$E$6:$E$65,"",'案件台帳'!$F$6:$F$65,"&gt;="&amp;X$4)&gt;0,"■",""))</f>
        <v/>
      </c>
      <c r="Y9" s="29">
        <f>IF($A9="","",IF(COUNTIFS('案件台帳'!$C$6:$C$65,$A9,'案件台帳'!$E$6:$E$65,"&lt;="&amp;Y$4,'案件台帳'!$F$6:$F$65,"&gt;="&amp;Y$4)+COUNTIFS('案件台帳'!$C$6:$C$65,$A9,'案件台帳'!$E$6:$E$65,"",'案件台帳'!$F$6:$F$65,"&gt;="&amp;Y$4)&gt;0,"■",""))</f>
        <v/>
      </c>
      <c r="Z9" s="29">
        <f>IF($A9="","",IF(COUNTIFS('案件台帳'!$C$6:$C$65,$A9,'案件台帳'!$E$6:$E$65,"&lt;="&amp;Z$4,'案件台帳'!$F$6:$F$65,"&gt;="&amp;Z$4)+COUNTIFS('案件台帳'!$C$6:$C$65,$A9,'案件台帳'!$E$6:$E$65,"",'案件台帳'!$F$6:$F$65,"&gt;="&amp;Z$4)&gt;0,"■",""))</f>
        <v/>
      </c>
      <c r="AA9" s="29">
        <f>IF($A9="","",IF(COUNTIFS('案件台帳'!$C$6:$C$65,$A9,'案件台帳'!$E$6:$E$65,"&lt;="&amp;AA$4,'案件台帳'!$F$6:$F$65,"&gt;="&amp;AA$4)+COUNTIFS('案件台帳'!$C$6:$C$65,$A9,'案件台帳'!$E$6:$E$65,"",'案件台帳'!$F$6:$F$65,"&gt;="&amp;AA$4)&gt;0,"■",""))</f>
        <v/>
      </c>
      <c r="AB9" s="29">
        <f>IF($A9="","",IF(COUNTIFS('案件台帳'!$C$6:$C$65,$A9,'案件台帳'!$E$6:$E$65,"&lt;="&amp;AB$4,'案件台帳'!$F$6:$F$65,"&gt;="&amp;AB$4)+COUNTIFS('案件台帳'!$C$6:$C$65,$A9,'案件台帳'!$E$6:$E$65,"",'案件台帳'!$F$6:$F$65,"&gt;="&amp;AB$4)&gt;0,"■",""))</f>
        <v/>
      </c>
      <c r="AC9" s="29">
        <f>IF($A9="","",IF(COUNTIFS('案件台帳'!$C$6:$C$65,$A9,'案件台帳'!$E$6:$E$65,"&lt;="&amp;AC$4,'案件台帳'!$F$6:$F$65,"&gt;="&amp;AC$4)+COUNTIFS('案件台帳'!$C$6:$C$65,$A9,'案件台帳'!$E$6:$E$65,"",'案件台帳'!$F$6:$F$65,"&gt;="&amp;AC$4)&gt;0,"■",""))</f>
        <v/>
      </c>
      <c r="AD9" s="29">
        <f>IF($A9="","",IF(COUNTIFS('案件台帳'!$C$6:$C$65,$A9,'案件台帳'!$E$6:$E$65,"&lt;="&amp;AD$4,'案件台帳'!$F$6:$F$65,"&gt;="&amp;AD$4)+COUNTIFS('案件台帳'!$C$6:$C$65,$A9,'案件台帳'!$E$6:$E$65,"",'案件台帳'!$F$6:$F$65,"&gt;="&amp;AD$4)&gt;0,"■",""))</f>
        <v/>
      </c>
      <c r="AE9" s="29">
        <f>IF($A9="","",IF(COUNTIFS('案件台帳'!$C$6:$C$65,$A9,'案件台帳'!$E$6:$E$65,"&lt;="&amp;AE$4,'案件台帳'!$F$6:$F$65,"&gt;="&amp;AE$4)+COUNTIFS('案件台帳'!$C$6:$C$65,$A9,'案件台帳'!$E$6:$E$65,"",'案件台帳'!$F$6:$F$65,"&gt;="&amp;AE$4)&gt;0,"■",""))</f>
        <v/>
      </c>
      <c r="AF9" s="29">
        <f>IF($A9="","",IF(COUNTIFS('案件台帳'!$C$6:$C$65,$A9,'案件台帳'!$E$6:$E$65,"&lt;="&amp;AF$4,'案件台帳'!$F$6:$F$65,"&gt;="&amp;AF$4)+COUNTIFS('案件台帳'!$C$6:$C$65,$A9,'案件台帳'!$E$6:$E$65,"",'案件台帳'!$F$6:$F$65,"&gt;="&amp;AF$4)&gt;0,"■",""))</f>
        <v/>
      </c>
      <c r="AG9" s="29">
        <f>IF($A9="","",IF(COUNTIFS('案件台帳'!$C$6:$C$65,$A9,'案件台帳'!$E$6:$E$65,"&lt;="&amp;AG$4,'案件台帳'!$F$6:$F$65,"&gt;="&amp;AG$4)+COUNTIFS('案件台帳'!$C$6:$C$65,$A9,'案件台帳'!$E$6:$E$65,"",'案件台帳'!$F$6:$F$65,"&gt;="&amp;AG$4)&gt;0,"■",""))</f>
        <v/>
      </c>
      <c r="AH9" s="29">
        <f>IF($A9="","",IF(COUNTIFS('案件台帳'!$C$6:$C$65,$A9,'案件台帳'!$E$6:$E$65,"&lt;="&amp;AH$4,'案件台帳'!$F$6:$F$65,"&gt;="&amp;AH$4)+COUNTIFS('案件台帳'!$C$6:$C$65,$A9,'案件台帳'!$E$6:$E$65,"",'案件台帳'!$F$6:$F$65,"&gt;="&amp;AH$4)&gt;0,"■",""))</f>
        <v/>
      </c>
      <c r="AI9" s="29">
        <f>IF($A9="","",IF(COUNTIFS('案件台帳'!$C$6:$C$65,$A9,'案件台帳'!$E$6:$E$65,"&lt;="&amp;AI$4,'案件台帳'!$F$6:$F$65,"&gt;="&amp;AI$4)+COUNTIFS('案件台帳'!$C$6:$C$65,$A9,'案件台帳'!$E$6:$E$65,"",'案件台帳'!$F$6:$F$65,"&gt;="&amp;AI$4)&gt;0,"■",""))</f>
        <v/>
      </c>
      <c r="AJ9" s="29">
        <f>IF($A9="","",IF(COUNTIFS('案件台帳'!$C$6:$C$65,$A9,'案件台帳'!$E$6:$E$65,"&lt;="&amp;AJ$4,'案件台帳'!$F$6:$F$65,"&gt;="&amp;AJ$4)+COUNTIFS('案件台帳'!$C$6:$C$65,$A9,'案件台帳'!$E$6:$E$65,"",'案件台帳'!$F$6:$F$65,"&gt;="&amp;AJ$4)&gt;0,"■",""))</f>
        <v/>
      </c>
      <c r="AK9" s="29">
        <f>IF($A9="","",IF(COUNTIFS('案件台帳'!$C$6:$C$65,$A9,'案件台帳'!$E$6:$E$65,"&lt;="&amp;AK$4,'案件台帳'!$F$6:$F$65,"&gt;="&amp;AK$4)+COUNTIFS('案件台帳'!$C$6:$C$65,$A9,'案件台帳'!$E$6:$E$65,"",'案件台帳'!$F$6:$F$65,"&gt;="&amp;AK$4)&gt;0,"■",""))</f>
        <v/>
      </c>
      <c r="AL9" s="29">
        <f>IF($A9="","",IF(COUNTIFS('案件台帳'!$C$6:$C$65,$A9,'案件台帳'!$E$6:$E$65,"&lt;="&amp;AL$4,'案件台帳'!$F$6:$F$65,"&gt;="&amp;AL$4)+COUNTIFS('案件台帳'!$C$6:$C$65,$A9,'案件台帳'!$E$6:$E$65,"",'案件台帳'!$F$6:$F$65,"&gt;="&amp;AL$4)&gt;0,"■",""))</f>
        <v/>
      </c>
      <c r="AM9" s="29">
        <f>IF($A9="","",IF(COUNTIFS('案件台帳'!$C$6:$C$65,$A9,'案件台帳'!$E$6:$E$65,"&lt;="&amp;AM$4,'案件台帳'!$F$6:$F$65,"&gt;="&amp;AM$4)+COUNTIFS('案件台帳'!$C$6:$C$65,$A9,'案件台帳'!$E$6:$E$65,"",'案件台帳'!$F$6:$F$65,"&gt;="&amp;AM$4)&gt;0,"■",""))</f>
        <v/>
      </c>
      <c r="AN9" s="29">
        <f>IF($A9="","",IF(COUNTIFS('案件台帳'!$C$6:$C$65,$A9,'案件台帳'!$E$6:$E$65,"&lt;="&amp;AN$4,'案件台帳'!$F$6:$F$65,"&gt;="&amp;AN$4)+COUNTIFS('案件台帳'!$C$6:$C$65,$A9,'案件台帳'!$E$6:$E$65,"",'案件台帳'!$F$6:$F$65,"&gt;="&amp;AN$4)&gt;0,"■",""))</f>
        <v/>
      </c>
      <c r="AO9" s="29">
        <f>IF($A9="","",IF(COUNTIFS('案件台帳'!$C$6:$C$65,$A9,'案件台帳'!$E$6:$E$65,"&lt;="&amp;AO$4,'案件台帳'!$F$6:$F$65,"&gt;="&amp;AO$4)+COUNTIFS('案件台帳'!$C$6:$C$65,$A9,'案件台帳'!$E$6:$E$65,"",'案件台帳'!$F$6:$F$65,"&gt;="&amp;AO$4)&gt;0,"■",""))</f>
        <v/>
      </c>
      <c r="AP9" s="29">
        <f>IF($A9="","",IF(COUNTIFS('案件台帳'!$C$6:$C$65,$A9,'案件台帳'!$E$6:$E$65,"&lt;="&amp;AP$4,'案件台帳'!$F$6:$F$65,"&gt;="&amp;AP$4)+COUNTIFS('案件台帳'!$C$6:$C$65,$A9,'案件台帳'!$E$6:$E$65,"",'案件台帳'!$F$6:$F$65,"&gt;="&amp;AP$4)&gt;0,"■",""))</f>
        <v/>
      </c>
      <c r="AQ9" s="29">
        <f>IF($A9="","",IF(COUNTIFS('案件台帳'!$C$6:$C$65,$A9,'案件台帳'!$E$6:$E$65,"&lt;="&amp;AQ$4,'案件台帳'!$F$6:$F$65,"&gt;="&amp;AQ$4)+COUNTIFS('案件台帳'!$C$6:$C$65,$A9,'案件台帳'!$E$6:$E$65,"",'案件台帳'!$F$6:$F$65,"&gt;="&amp;AQ$4)&gt;0,"■",""))</f>
        <v/>
      </c>
      <c r="AR9" s="29">
        <f>IF($A9="","",IF(COUNTIFS('案件台帳'!$C$6:$C$65,$A9,'案件台帳'!$E$6:$E$65,"&lt;="&amp;AR$4,'案件台帳'!$F$6:$F$65,"&gt;="&amp;AR$4)+COUNTIFS('案件台帳'!$C$6:$C$65,$A9,'案件台帳'!$E$6:$E$65,"",'案件台帳'!$F$6:$F$65,"&gt;="&amp;AR$4)&gt;0,"■",""))</f>
        <v/>
      </c>
      <c r="AS9" s="29">
        <f>IF($A9="","",IF(COUNTIFS('案件台帳'!$C$6:$C$65,$A9,'案件台帳'!$E$6:$E$65,"&lt;="&amp;AS$4,'案件台帳'!$F$6:$F$65,"&gt;="&amp;AS$4)+COUNTIFS('案件台帳'!$C$6:$C$65,$A9,'案件台帳'!$E$6:$E$65,"",'案件台帳'!$F$6:$F$65,"&gt;="&amp;AS$4)&gt;0,"■",""))</f>
        <v/>
      </c>
      <c r="AT9" s="29">
        <f>IF($A9="","",IF(COUNTIFS('案件台帳'!$C$6:$C$65,$A9,'案件台帳'!$E$6:$E$65,"&lt;="&amp;AT$4,'案件台帳'!$F$6:$F$65,"&gt;="&amp;AT$4)+COUNTIFS('案件台帳'!$C$6:$C$65,$A9,'案件台帳'!$E$6:$E$65,"",'案件台帳'!$F$6:$F$65,"&gt;="&amp;AT$4)&gt;0,"■",""))</f>
        <v/>
      </c>
      <c r="AU9" s="29">
        <f>IF($A9="","",IF(COUNTIFS('案件台帳'!$C$6:$C$65,$A9,'案件台帳'!$E$6:$E$65,"&lt;="&amp;AU$4,'案件台帳'!$F$6:$F$65,"&gt;="&amp;AU$4)+COUNTIFS('案件台帳'!$C$6:$C$65,$A9,'案件台帳'!$E$6:$E$65,"",'案件台帳'!$F$6:$F$65,"&gt;="&amp;AU$4)&gt;0,"■",""))</f>
        <v/>
      </c>
      <c r="AV9" s="29">
        <f>IF($A9="","",IF(COUNTIFS('案件台帳'!$C$6:$C$65,$A9,'案件台帳'!$E$6:$E$65,"&lt;="&amp;AV$4,'案件台帳'!$F$6:$F$65,"&gt;="&amp;AV$4)+COUNTIFS('案件台帳'!$C$6:$C$65,$A9,'案件台帳'!$E$6:$E$65,"",'案件台帳'!$F$6:$F$65,"&gt;="&amp;AV$4)&gt;0,"■",""))</f>
        <v/>
      </c>
      <c r="AW9" s="29">
        <f>IF($A9="","",IF(COUNTIFS('案件台帳'!$C$6:$C$65,$A9,'案件台帳'!$E$6:$E$65,"&lt;="&amp;AW$4,'案件台帳'!$F$6:$F$65,"&gt;="&amp;AW$4)+COUNTIFS('案件台帳'!$C$6:$C$65,$A9,'案件台帳'!$E$6:$E$65,"",'案件台帳'!$F$6:$F$65,"&gt;="&amp;AW$4)&gt;0,"■",""))</f>
        <v/>
      </c>
      <c r="AX9" s="29">
        <f>IF($A9="","",IF(COUNTIFS('案件台帳'!$C$6:$C$65,$A9,'案件台帳'!$E$6:$E$65,"&lt;="&amp;AX$4,'案件台帳'!$F$6:$F$65,"&gt;="&amp;AX$4)+COUNTIFS('案件台帳'!$C$6:$C$65,$A9,'案件台帳'!$E$6:$E$65,"",'案件台帳'!$F$6:$F$65,"&gt;="&amp;AX$4)&gt;0,"■",""))</f>
        <v/>
      </c>
      <c r="AY9" s="29">
        <f>IF($A9="","",IF(COUNTIFS('案件台帳'!$C$6:$C$65,$A9,'案件台帳'!$E$6:$E$65,"&lt;="&amp;AY$4,'案件台帳'!$F$6:$F$65,"&gt;="&amp;AY$4)+COUNTIFS('案件台帳'!$C$6:$C$65,$A9,'案件台帳'!$E$6:$E$65,"",'案件台帳'!$F$6:$F$65,"&gt;="&amp;AY$4)&gt;0,"■",""))</f>
        <v/>
      </c>
      <c r="AZ9" s="29">
        <f>IF($A9="","",IF(COUNTIFS('案件台帳'!$C$6:$C$65,$A9,'案件台帳'!$E$6:$E$65,"&lt;="&amp;AZ$4,'案件台帳'!$F$6:$F$65,"&gt;="&amp;AZ$4)+COUNTIFS('案件台帳'!$C$6:$C$65,$A9,'案件台帳'!$E$6:$E$65,"",'案件台帳'!$F$6:$F$65,"&gt;="&amp;AZ$4)&gt;0,"■",""))</f>
        <v/>
      </c>
      <c r="BA9" s="29">
        <f>IF($A9="","",IF(COUNTIFS('案件台帳'!$C$6:$C$65,$A9,'案件台帳'!$E$6:$E$65,"&lt;="&amp;BA$4,'案件台帳'!$F$6:$F$65,"&gt;="&amp;BA$4)+COUNTIFS('案件台帳'!$C$6:$C$65,$A9,'案件台帳'!$E$6:$E$65,"",'案件台帳'!$F$6:$F$65,"&gt;="&amp;BA$4)&gt;0,"■",""))</f>
        <v/>
      </c>
      <c r="BB9" s="29">
        <f>IF($A9="","",IF(COUNTIFS('案件台帳'!$C$6:$C$65,$A9,'案件台帳'!$E$6:$E$65,"&lt;="&amp;BB$4,'案件台帳'!$F$6:$F$65,"&gt;="&amp;BB$4)+COUNTIFS('案件台帳'!$C$6:$C$65,$A9,'案件台帳'!$E$6:$E$65,"",'案件台帳'!$F$6:$F$65,"&gt;="&amp;BB$4)&gt;0,"■",""))</f>
        <v/>
      </c>
      <c r="BC9" s="29">
        <f>IF($A9="","",IF(COUNTIFS('案件台帳'!$C$6:$C$65,$A9,'案件台帳'!$E$6:$E$65,"&lt;="&amp;BC$4,'案件台帳'!$F$6:$F$65,"&gt;="&amp;BC$4)+COUNTIFS('案件台帳'!$C$6:$C$65,$A9,'案件台帳'!$E$6:$E$65,"",'案件台帳'!$F$6:$F$65,"&gt;="&amp;BC$4)&gt;0,"■",""))</f>
        <v/>
      </c>
      <c r="BD9" s="29">
        <f>IF($A9="","",IF(COUNTIFS('案件台帳'!$C$6:$C$65,$A9,'案件台帳'!$E$6:$E$65,"&lt;="&amp;BD$4,'案件台帳'!$F$6:$F$65,"&gt;="&amp;BD$4)+COUNTIFS('案件台帳'!$C$6:$C$65,$A9,'案件台帳'!$E$6:$E$65,"",'案件台帳'!$F$6:$F$65,"&gt;="&amp;BD$4)&gt;0,"■",""))</f>
        <v/>
      </c>
      <c r="BE9" s="29">
        <f>IF($A9="","",IF(COUNTIFS('案件台帳'!$C$6:$C$65,$A9,'案件台帳'!$E$6:$E$65,"&lt;="&amp;BE$4,'案件台帳'!$F$6:$F$65,"&gt;="&amp;BE$4)+COUNTIFS('案件台帳'!$C$6:$C$65,$A9,'案件台帳'!$E$6:$E$65,"",'案件台帳'!$F$6:$F$65,"&gt;="&amp;BE$4)&gt;0,"■",""))</f>
        <v/>
      </c>
      <c r="BF9" s="29">
        <f>IF($A9="","",IF(COUNTIFS('案件台帳'!$C$6:$C$65,$A9,'案件台帳'!$E$6:$E$65,"&lt;="&amp;BF$4,'案件台帳'!$F$6:$F$65,"&gt;="&amp;BF$4)+COUNTIFS('案件台帳'!$C$6:$C$65,$A9,'案件台帳'!$E$6:$E$65,"",'案件台帳'!$F$6:$F$65,"&gt;="&amp;BF$4)&gt;0,"■",""))</f>
        <v/>
      </c>
      <c r="BG9" s="29">
        <f>IF($A9="","",IF(COUNTIFS('案件台帳'!$C$6:$C$65,$A9,'案件台帳'!$E$6:$E$65,"&lt;="&amp;BG$4,'案件台帳'!$F$6:$F$65,"&gt;="&amp;BG$4)+COUNTIFS('案件台帳'!$C$6:$C$65,$A9,'案件台帳'!$E$6:$E$65,"",'案件台帳'!$F$6:$F$65,"&gt;="&amp;BG$4)&gt;0,"■",""))</f>
        <v/>
      </c>
      <c r="BH9" s="29">
        <f>IF($A9="","",IF(COUNTIFS('案件台帳'!$C$6:$C$65,$A9,'案件台帳'!$E$6:$E$65,"&lt;="&amp;BH$4,'案件台帳'!$F$6:$F$65,"&gt;="&amp;BH$4)+COUNTIFS('案件台帳'!$C$6:$C$65,$A9,'案件台帳'!$E$6:$E$65,"",'案件台帳'!$F$6:$F$65,"&gt;="&amp;BH$4)&gt;0,"■",""))</f>
        <v/>
      </c>
      <c r="BI9" s="29">
        <f>IF($A9="","",IF(COUNTIFS('案件台帳'!$C$6:$C$65,$A9,'案件台帳'!$E$6:$E$65,"&lt;="&amp;BI$4,'案件台帳'!$F$6:$F$65,"&gt;="&amp;BI$4)+COUNTIFS('案件台帳'!$C$6:$C$65,$A9,'案件台帳'!$E$6:$E$65,"",'案件台帳'!$F$6:$F$65,"&gt;="&amp;BI$4)&gt;0,"■",""))</f>
        <v/>
      </c>
      <c r="BJ9" s="29">
        <f>IF($A9="","",IF(COUNTIFS('案件台帳'!$C$6:$C$65,$A9,'案件台帳'!$E$6:$E$65,"&lt;="&amp;BJ$4,'案件台帳'!$F$6:$F$65,"&gt;="&amp;BJ$4)+COUNTIFS('案件台帳'!$C$6:$C$65,$A9,'案件台帳'!$E$6:$E$65,"",'案件台帳'!$F$6:$F$65,"&gt;="&amp;BJ$4)&gt;0,"■",""))</f>
        <v/>
      </c>
      <c r="BK9" s="29">
        <f>IF($A9="","",IF(COUNTIFS('案件台帳'!$C$6:$C$65,$A9,'案件台帳'!$E$6:$E$65,"&lt;="&amp;BK$4,'案件台帳'!$F$6:$F$65,"&gt;="&amp;BK$4)+COUNTIFS('案件台帳'!$C$6:$C$65,$A9,'案件台帳'!$E$6:$E$65,"",'案件台帳'!$F$6:$F$65,"&gt;="&amp;BK$4)&gt;0,"■",""))</f>
        <v/>
      </c>
      <c r="BL9" s="29">
        <f>IF($A9="","",IF(COUNTIFS('案件台帳'!$C$6:$C$65,$A9,'案件台帳'!$E$6:$E$65,"&lt;="&amp;BL$4,'案件台帳'!$F$6:$F$65,"&gt;="&amp;BL$4)+COUNTIFS('案件台帳'!$C$6:$C$65,$A9,'案件台帳'!$E$6:$E$65,"",'案件台帳'!$F$6:$F$65,"&gt;="&amp;BL$4)&gt;0,"■",""))</f>
        <v/>
      </c>
    </row>
    <row r="10">
      <c r="A10" s="24">
        <f>IF(職人ダッシュボード!$A$9="","",職人ダッシュボード!$A$9)</f>
        <v/>
      </c>
      <c r="B10" s="29">
        <f>IF($A10="","",IF(COUNTIFS('案件台帳'!$C$6:$C$65,$A10,'案件台帳'!$E$6:$E$65,"&lt;="&amp;B$4,'案件台帳'!$F$6:$F$65,"&gt;="&amp;B$4)+COUNTIFS('案件台帳'!$C$6:$C$65,$A10,'案件台帳'!$E$6:$E$65,"",'案件台帳'!$F$6:$F$65,"&gt;="&amp;B$4)&gt;0,"■",""))</f>
        <v/>
      </c>
      <c r="C10" s="29">
        <f>IF($A10="","",IF(COUNTIFS('案件台帳'!$C$6:$C$65,$A10,'案件台帳'!$E$6:$E$65,"&lt;="&amp;C$4,'案件台帳'!$F$6:$F$65,"&gt;="&amp;C$4)+COUNTIFS('案件台帳'!$C$6:$C$65,$A10,'案件台帳'!$E$6:$E$65,"",'案件台帳'!$F$6:$F$65,"&gt;="&amp;C$4)&gt;0,"■",""))</f>
        <v/>
      </c>
      <c r="D10" s="29">
        <f>IF($A10="","",IF(COUNTIFS('案件台帳'!$C$6:$C$65,$A10,'案件台帳'!$E$6:$E$65,"&lt;="&amp;D$4,'案件台帳'!$F$6:$F$65,"&gt;="&amp;D$4)+COUNTIFS('案件台帳'!$C$6:$C$65,$A10,'案件台帳'!$E$6:$E$65,"",'案件台帳'!$F$6:$F$65,"&gt;="&amp;D$4)&gt;0,"■",""))</f>
        <v/>
      </c>
      <c r="E10" s="29">
        <f>IF($A10="","",IF(COUNTIFS('案件台帳'!$C$6:$C$65,$A10,'案件台帳'!$E$6:$E$65,"&lt;="&amp;E$4,'案件台帳'!$F$6:$F$65,"&gt;="&amp;E$4)+COUNTIFS('案件台帳'!$C$6:$C$65,$A10,'案件台帳'!$E$6:$E$65,"",'案件台帳'!$F$6:$F$65,"&gt;="&amp;E$4)&gt;0,"■",""))</f>
        <v/>
      </c>
      <c r="F10" s="29">
        <f>IF($A10="","",IF(COUNTIFS('案件台帳'!$C$6:$C$65,$A10,'案件台帳'!$E$6:$E$65,"&lt;="&amp;F$4,'案件台帳'!$F$6:$F$65,"&gt;="&amp;F$4)+COUNTIFS('案件台帳'!$C$6:$C$65,$A10,'案件台帳'!$E$6:$E$65,"",'案件台帳'!$F$6:$F$65,"&gt;="&amp;F$4)&gt;0,"■",""))</f>
        <v/>
      </c>
      <c r="G10" s="29">
        <f>IF($A10="","",IF(COUNTIFS('案件台帳'!$C$6:$C$65,$A10,'案件台帳'!$E$6:$E$65,"&lt;="&amp;G$4,'案件台帳'!$F$6:$F$65,"&gt;="&amp;G$4)+COUNTIFS('案件台帳'!$C$6:$C$65,$A10,'案件台帳'!$E$6:$E$65,"",'案件台帳'!$F$6:$F$65,"&gt;="&amp;G$4)&gt;0,"■",""))</f>
        <v/>
      </c>
      <c r="H10" s="29">
        <f>IF($A10="","",IF(COUNTIFS('案件台帳'!$C$6:$C$65,$A10,'案件台帳'!$E$6:$E$65,"&lt;="&amp;H$4,'案件台帳'!$F$6:$F$65,"&gt;="&amp;H$4)+COUNTIFS('案件台帳'!$C$6:$C$65,$A10,'案件台帳'!$E$6:$E$65,"",'案件台帳'!$F$6:$F$65,"&gt;="&amp;H$4)&gt;0,"■",""))</f>
        <v/>
      </c>
      <c r="I10" s="29">
        <f>IF($A10="","",IF(COUNTIFS('案件台帳'!$C$6:$C$65,$A10,'案件台帳'!$E$6:$E$65,"&lt;="&amp;I$4,'案件台帳'!$F$6:$F$65,"&gt;="&amp;I$4)+COUNTIFS('案件台帳'!$C$6:$C$65,$A10,'案件台帳'!$E$6:$E$65,"",'案件台帳'!$F$6:$F$65,"&gt;="&amp;I$4)&gt;0,"■",""))</f>
        <v/>
      </c>
      <c r="J10" s="29">
        <f>IF($A10="","",IF(COUNTIFS('案件台帳'!$C$6:$C$65,$A10,'案件台帳'!$E$6:$E$65,"&lt;="&amp;J$4,'案件台帳'!$F$6:$F$65,"&gt;="&amp;J$4)+COUNTIFS('案件台帳'!$C$6:$C$65,$A10,'案件台帳'!$E$6:$E$65,"",'案件台帳'!$F$6:$F$65,"&gt;="&amp;J$4)&gt;0,"■",""))</f>
        <v/>
      </c>
      <c r="K10" s="29">
        <f>IF($A10="","",IF(COUNTIFS('案件台帳'!$C$6:$C$65,$A10,'案件台帳'!$E$6:$E$65,"&lt;="&amp;K$4,'案件台帳'!$F$6:$F$65,"&gt;="&amp;K$4)+COUNTIFS('案件台帳'!$C$6:$C$65,$A10,'案件台帳'!$E$6:$E$65,"",'案件台帳'!$F$6:$F$65,"&gt;="&amp;K$4)&gt;0,"■",""))</f>
        <v/>
      </c>
      <c r="L10" s="29">
        <f>IF($A10="","",IF(COUNTIFS('案件台帳'!$C$6:$C$65,$A10,'案件台帳'!$E$6:$E$65,"&lt;="&amp;L$4,'案件台帳'!$F$6:$F$65,"&gt;="&amp;L$4)+COUNTIFS('案件台帳'!$C$6:$C$65,$A10,'案件台帳'!$E$6:$E$65,"",'案件台帳'!$F$6:$F$65,"&gt;="&amp;L$4)&gt;0,"■",""))</f>
        <v/>
      </c>
      <c r="M10" s="29">
        <f>IF($A10="","",IF(COUNTIFS('案件台帳'!$C$6:$C$65,$A10,'案件台帳'!$E$6:$E$65,"&lt;="&amp;M$4,'案件台帳'!$F$6:$F$65,"&gt;="&amp;M$4)+COUNTIFS('案件台帳'!$C$6:$C$65,$A10,'案件台帳'!$E$6:$E$65,"",'案件台帳'!$F$6:$F$65,"&gt;="&amp;M$4)&gt;0,"■",""))</f>
        <v/>
      </c>
      <c r="N10" s="29">
        <f>IF($A10="","",IF(COUNTIFS('案件台帳'!$C$6:$C$65,$A10,'案件台帳'!$E$6:$E$65,"&lt;="&amp;N$4,'案件台帳'!$F$6:$F$65,"&gt;="&amp;N$4)+COUNTIFS('案件台帳'!$C$6:$C$65,$A10,'案件台帳'!$E$6:$E$65,"",'案件台帳'!$F$6:$F$65,"&gt;="&amp;N$4)&gt;0,"■",""))</f>
        <v/>
      </c>
      <c r="O10" s="29">
        <f>IF($A10="","",IF(COUNTIFS('案件台帳'!$C$6:$C$65,$A10,'案件台帳'!$E$6:$E$65,"&lt;="&amp;O$4,'案件台帳'!$F$6:$F$65,"&gt;="&amp;O$4)+COUNTIFS('案件台帳'!$C$6:$C$65,$A10,'案件台帳'!$E$6:$E$65,"",'案件台帳'!$F$6:$F$65,"&gt;="&amp;O$4)&gt;0,"■",""))</f>
        <v/>
      </c>
      <c r="P10" s="29">
        <f>IF($A10="","",IF(COUNTIFS('案件台帳'!$C$6:$C$65,$A10,'案件台帳'!$E$6:$E$65,"&lt;="&amp;P$4,'案件台帳'!$F$6:$F$65,"&gt;="&amp;P$4)+COUNTIFS('案件台帳'!$C$6:$C$65,$A10,'案件台帳'!$E$6:$E$65,"",'案件台帳'!$F$6:$F$65,"&gt;="&amp;P$4)&gt;0,"■",""))</f>
        <v/>
      </c>
      <c r="Q10" s="29">
        <f>IF($A10="","",IF(COUNTIFS('案件台帳'!$C$6:$C$65,$A10,'案件台帳'!$E$6:$E$65,"&lt;="&amp;Q$4,'案件台帳'!$F$6:$F$65,"&gt;="&amp;Q$4)+COUNTIFS('案件台帳'!$C$6:$C$65,$A10,'案件台帳'!$E$6:$E$65,"",'案件台帳'!$F$6:$F$65,"&gt;="&amp;Q$4)&gt;0,"■",""))</f>
        <v/>
      </c>
      <c r="R10" s="29">
        <f>IF($A10="","",IF(COUNTIFS('案件台帳'!$C$6:$C$65,$A10,'案件台帳'!$E$6:$E$65,"&lt;="&amp;R$4,'案件台帳'!$F$6:$F$65,"&gt;="&amp;R$4)+COUNTIFS('案件台帳'!$C$6:$C$65,$A10,'案件台帳'!$E$6:$E$65,"",'案件台帳'!$F$6:$F$65,"&gt;="&amp;R$4)&gt;0,"■",""))</f>
        <v/>
      </c>
      <c r="S10" s="29">
        <f>IF($A10="","",IF(COUNTIFS('案件台帳'!$C$6:$C$65,$A10,'案件台帳'!$E$6:$E$65,"&lt;="&amp;S$4,'案件台帳'!$F$6:$F$65,"&gt;="&amp;S$4)+COUNTIFS('案件台帳'!$C$6:$C$65,$A10,'案件台帳'!$E$6:$E$65,"",'案件台帳'!$F$6:$F$65,"&gt;="&amp;S$4)&gt;0,"■",""))</f>
        <v/>
      </c>
      <c r="T10" s="29">
        <f>IF($A10="","",IF(COUNTIFS('案件台帳'!$C$6:$C$65,$A10,'案件台帳'!$E$6:$E$65,"&lt;="&amp;T$4,'案件台帳'!$F$6:$F$65,"&gt;="&amp;T$4)+COUNTIFS('案件台帳'!$C$6:$C$65,$A10,'案件台帳'!$E$6:$E$65,"",'案件台帳'!$F$6:$F$65,"&gt;="&amp;T$4)&gt;0,"■",""))</f>
        <v/>
      </c>
      <c r="U10" s="29">
        <f>IF($A10="","",IF(COUNTIFS('案件台帳'!$C$6:$C$65,$A10,'案件台帳'!$E$6:$E$65,"&lt;="&amp;U$4,'案件台帳'!$F$6:$F$65,"&gt;="&amp;U$4)+COUNTIFS('案件台帳'!$C$6:$C$65,$A10,'案件台帳'!$E$6:$E$65,"",'案件台帳'!$F$6:$F$65,"&gt;="&amp;U$4)&gt;0,"■",""))</f>
        <v/>
      </c>
      <c r="V10" s="29">
        <f>IF($A10="","",IF(COUNTIFS('案件台帳'!$C$6:$C$65,$A10,'案件台帳'!$E$6:$E$65,"&lt;="&amp;V$4,'案件台帳'!$F$6:$F$65,"&gt;="&amp;V$4)+COUNTIFS('案件台帳'!$C$6:$C$65,$A10,'案件台帳'!$E$6:$E$65,"",'案件台帳'!$F$6:$F$65,"&gt;="&amp;V$4)&gt;0,"■",""))</f>
        <v/>
      </c>
      <c r="W10" s="29">
        <f>IF($A10="","",IF(COUNTIFS('案件台帳'!$C$6:$C$65,$A10,'案件台帳'!$E$6:$E$65,"&lt;="&amp;W$4,'案件台帳'!$F$6:$F$65,"&gt;="&amp;W$4)+COUNTIFS('案件台帳'!$C$6:$C$65,$A10,'案件台帳'!$E$6:$E$65,"",'案件台帳'!$F$6:$F$65,"&gt;="&amp;W$4)&gt;0,"■",""))</f>
        <v/>
      </c>
      <c r="X10" s="29">
        <f>IF($A10="","",IF(COUNTIFS('案件台帳'!$C$6:$C$65,$A10,'案件台帳'!$E$6:$E$65,"&lt;="&amp;X$4,'案件台帳'!$F$6:$F$65,"&gt;="&amp;X$4)+COUNTIFS('案件台帳'!$C$6:$C$65,$A10,'案件台帳'!$E$6:$E$65,"",'案件台帳'!$F$6:$F$65,"&gt;="&amp;X$4)&gt;0,"■",""))</f>
        <v/>
      </c>
      <c r="Y10" s="29">
        <f>IF($A10="","",IF(COUNTIFS('案件台帳'!$C$6:$C$65,$A10,'案件台帳'!$E$6:$E$65,"&lt;="&amp;Y$4,'案件台帳'!$F$6:$F$65,"&gt;="&amp;Y$4)+COUNTIFS('案件台帳'!$C$6:$C$65,$A10,'案件台帳'!$E$6:$E$65,"",'案件台帳'!$F$6:$F$65,"&gt;="&amp;Y$4)&gt;0,"■",""))</f>
        <v/>
      </c>
      <c r="Z10" s="29">
        <f>IF($A10="","",IF(COUNTIFS('案件台帳'!$C$6:$C$65,$A10,'案件台帳'!$E$6:$E$65,"&lt;="&amp;Z$4,'案件台帳'!$F$6:$F$65,"&gt;="&amp;Z$4)+COUNTIFS('案件台帳'!$C$6:$C$65,$A10,'案件台帳'!$E$6:$E$65,"",'案件台帳'!$F$6:$F$65,"&gt;="&amp;Z$4)&gt;0,"■",""))</f>
        <v/>
      </c>
      <c r="AA10" s="29">
        <f>IF($A10="","",IF(COUNTIFS('案件台帳'!$C$6:$C$65,$A10,'案件台帳'!$E$6:$E$65,"&lt;="&amp;AA$4,'案件台帳'!$F$6:$F$65,"&gt;="&amp;AA$4)+COUNTIFS('案件台帳'!$C$6:$C$65,$A10,'案件台帳'!$E$6:$E$65,"",'案件台帳'!$F$6:$F$65,"&gt;="&amp;AA$4)&gt;0,"■",""))</f>
        <v/>
      </c>
      <c r="AB10" s="29">
        <f>IF($A10="","",IF(COUNTIFS('案件台帳'!$C$6:$C$65,$A10,'案件台帳'!$E$6:$E$65,"&lt;="&amp;AB$4,'案件台帳'!$F$6:$F$65,"&gt;="&amp;AB$4)+COUNTIFS('案件台帳'!$C$6:$C$65,$A10,'案件台帳'!$E$6:$E$65,"",'案件台帳'!$F$6:$F$65,"&gt;="&amp;AB$4)&gt;0,"■",""))</f>
        <v/>
      </c>
      <c r="AC10" s="29">
        <f>IF($A10="","",IF(COUNTIFS('案件台帳'!$C$6:$C$65,$A10,'案件台帳'!$E$6:$E$65,"&lt;="&amp;AC$4,'案件台帳'!$F$6:$F$65,"&gt;="&amp;AC$4)+COUNTIFS('案件台帳'!$C$6:$C$65,$A10,'案件台帳'!$E$6:$E$65,"",'案件台帳'!$F$6:$F$65,"&gt;="&amp;AC$4)&gt;0,"■",""))</f>
        <v/>
      </c>
      <c r="AD10" s="29">
        <f>IF($A10="","",IF(COUNTIFS('案件台帳'!$C$6:$C$65,$A10,'案件台帳'!$E$6:$E$65,"&lt;="&amp;AD$4,'案件台帳'!$F$6:$F$65,"&gt;="&amp;AD$4)+COUNTIFS('案件台帳'!$C$6:$C$65,$A10,'案件台帳'!$E$6:$E$65,"",'案件台帳'!$F$6:$F$65,"&gt;="&amp;AD$4)&gt;0,"■",""))</f>
        <v/>
      </c>
      <c r="AE10" s="29">
        <f>IF($A10="","",IF(COUNTIFS('案件台帳'!$C$6:$C$65,$A10,'案件台帳'!$E$6:$E$65,"&lt;="&amp;AE$4,'案件台帳'!$F$6:$F$65,"&gt;="&amp;AE$4)+COUNTIFS('案件台帳'!$C$6:$C$65,$A10,'案件台帳'!$E$6:$E$65,"",'案件台帳'!$F$6:$F$65,"&gt;="&amp;AE$4)&gt;0,"■",""))</f>
        <v/>
      </c>
      <c r="AF10" s="29">
        <f>IF($A10="","",IF(COUNTIFS('案件台帳'!$C$6:$C$65,$A10,'案件台帳'!$E$6:$E$65,"&lt;="&amp;AF$4,'案件台帳'!$F$6:$F$65,"&gt;="&amp;AF$4)+COUNTIFS('案件台帳'!$C$6:$C$65,$A10,'案件台帳'!$E$6:$E$65,"",'案件台帳'!$F$6:$F$65,"&gt;="&amp;AF$4)&gt;0,"■",""))</f>
        <v/>
      </c>
      <c r="AG10" s="29">
        <f>IF($A10="","",IF(COUNTIFS('案件台帳'!$C$6:$C$65,$A10,'案件台帳'!$E$6:$E$65,"&lt;="&amp;AG$4,'案件台帳'!$F$6:$F$65,"&gt;="&amp;AG$4)+COUNTIFS('案件台帳'!$C$6:$C$65,$A10,'案件台帳'!$E$6:$E$65,"",'案件台帳'!$F$6:$F$65,"&gt;="&amp;AG$4)&gt;0,"■",""))</f>
        <v/>
      </c>
      <c r="AH10" s="29">
        <f>IF($A10="","",IF(COUNTIFS('案件台帳'!$C$6:$C$65,$A10,'案件台帳'!$E$6:$E$65,"&lt;="&amp;AH$4,'案件台帳'!$F$6:$F$65,"&gt;="&amp;AH$4)+COUNTIFS('案件台帳'!$C$6:$C$65,$A10,'案件台帳'!$E$6:$E$65,"",'案件台帳'!$F$6:$F$65,"&gt;="&amp;AH$4)&gt;0,"■",""))</f>
        <v/>
      </c>
      <c r="AI10" s="29">
        <f>IF($A10="","",IF(COUNTIFS('案件台帳'!$C$6:$C$65,$A10,'案件台帳'!$E$6:$E$65,"&lt;="&amp;AI$4,'案件台帳'!$F$6:$F$65,"&gt;="&amp;AI$4)+COUNTIFS('案件台帳'!$C$6:$C$65,$A10,'案件台帳'!$E$6:$E$65,"",'案件台帳'!$F$6:$F$65,"&gt;="&amp;AI$4)&gt;0,"■",""))</f>
        <v/>
      </c>
      <c r="AJ10" s="29">
        <f>IF($A10="","",IF(COUNTIFS('案件台帳'!$C$6:$C$65,$A10,'案件台帳'!$E$6:$E$65,"&lt;="&amp;AJ$4,'案件台帳'!$F$6:$F$65,"&gt;="&amp;AJ$4)+COUNTIFS('案件台帳'!$C$6:$C$65,$A10,'案件台帳'!$E$6:$E$65,"",'案件台帳'!$F$6:$F$65,"&gt;="&amp;AJ$4)&gt;0,"■",""))</f>
        <v/>
      </c>
      <c r="AK10" s="29">
        <f>IF($A10="","",IF(COUNTIFS('案件台帳'!$C$6:$C$65,$A10,'案件台帳'!$E$6:$E$65,"&lt;="&amp;AK$4,'案件台帳'!$F$6:$F$65,"&gt;="&amp;AK$4)+COUNTIFS('案件台帳'!$C$6:$C$65,$A10,'案件台帳'!$E$6:$E$65,"",'案件台帳'!$F$6:$F$65,"&gt;="&amp;AK$4)&gt;0,"■",""))</f>
        <v/>
      </c>
      <c r="AL10" s="29">
        <f>IF($A10="","",IF(COUNTIFS('案件台帳'!$C$6:$C$65,$A10,'案件台帳'!$E$6:$E$65,"&lt;="&amp;AL$4,'案件台帳'!$F$6:$F$65,"&gt;="&amp;AL$4)+COUNTIFS('案件台帳'!$C$6:$C$65,$A10,'案件台帳'!$E$6:$E$65,"",'案件台帳'!$F$6:$F$65,"&gt;="&amp;AL$4)&gt;0,"■",""))</f>
        <v/>
      </c>
      <c r="AM10" s="29">
        <f>IF($A10="","",IF(COUNTIFS('案件台帳'!$C$6:$C$65,$A10,'案件台帳'!$E$6:$E$65,"&lt;="&amp;AM$4,'案件台帳'!$F$6:$F$65,"&gt;="&amp;AM$4)+COUNTIFS('案件台帳'!$C$6:$C$65,$A10,'案件台帳'!$E$6:$E$65,"",'案件台帳'!$F$6:$F$65,"&gt;="&amp;AM$4)&gt;0,"■",""))</f>
        <v/>
      </c>
      <c r="AN10" s="29">
        <f>IF($A10="","",IF(COUNTIFS('案件台帳'!$C$6:$C$65,$A10,'案件台帳'!$E$6:$E$65,"&lt;="&amp;AN$4,'案件台帳'!$F$6:$F$65,"&gt;="&amp;AN$4)+COUNTIFS('案件台帳'!$C$6:$C$65,$A10,'案件台帳'!$E$6:$E$65,"",'案件台帳'!$F$6:$F$65,"&gt;="&amp;AN$4)&gt;0,"■",""))</f>
        <v/>
      </c>
      <c r="AO10" s="29">
        <f>IF($A10="","",IF(COUNTIFS('案件台帳'!$C$6:$C$65,$A10,'案件台帳'!$E$6:$E$65,"&lt;="&amp;AO$4,'案件台帳'!$F$6:$F$65,"&gt;="&amp;AO$4)+COUNTIFS('案件台帳'!$C$6:$C$65,$A10,'案件台帳'!$E$6:$E$65,"",'案件台帳'!$F$6:$F$65,"&gt;="&amp;AO$4)&gt;0,"■",""))</f>
        <v/>
      </c>
      <c r="AP10" s="29">
        <f>IF($A10="","",IF(COUNTIFS('案件台帳'!$C$6:$C$65,$A10,'案件台帳'!$E$6:$E$65,"&lt;="&amp;AP$4,'案件台帳'!$F$6:$F$65,"&gt;="&amp;AP$4)+COUNTIFS('案件台帳'!$C$6:$C$65,$A10,'案件台帳'!$E$6:$E$65,"",'案件台帳'!$F$6:$F$65,"&gt;="&amp;AP$4)&gt;0,"■",""))</f>
        <v/>
      </c>
      <c r="AQ10" s="29">
        <f>IF($A10="","",IF(COUNTIFS('案件台帳'!$C$6:$C$65,$A10,'案件台帳'!$E$6:$E$65,"&lt;="&amp;AQ$4,'案件台帳'!$F$6:$F$65,"&gt;="&amp;AQ$4)+COUNTIFS('案件台帳'!$C$6:$C$65,$A10,'案件台帳'!$E$6:$E$65,"",'案件台帳'!$F$6:$F$65,"&gt;="&amp;AQ$4)&gt;0,"■",""))</f>
        <v/>
      </c>
      <c r="AR10" s="29">
        <f>IF($A10="","",IF(COUNTIFS('案件台帳'!$C$6:$C$65,$A10,'案件台帳'!$E$6:$E$65,"&lt;="&amp;AR$4,'案件台帳'!$F$6:$F$65,"&gt;="&amp;AR$4)+COUNTIFS('案件台帳'!$C$6:$C$65,$A10,'案件台帳'!$E$6:$E$65,"",'案件台帳'!$F$6:$F$65,"&gt;="&amp;AR$4)&gt;0,"■",""))</f>
        <v/>
      </c>
      <c r="AS10" s="29">
        <f>IF($A10="","",IF(COUNTIFS('案件台帳'!$C$6:$C$65,$A10,'案件台帳'!$E$6:$E$65,"&lt;="&amp;AS$4,'案件台帳'!$F$6:$F$65,"&gt;="&amp;AS$4)+COUNTIFS('案件台帳'!$C$6:$C$65,$A10,'案件台帳'!$E$6:$E$65,"",'案件台帳'!$F$6:$F$65,"&gt;="&amp;AS$4)&gt;0,"■",""))</f>
        <v/>
      </c>
      <c r="AT10" s="29">
        <f>IF($A10="","",IF(COUNTIFS('案件台帳'!$C$6:$C$65,$A10,'案件台帳'!$E$6:$E$65,"&lt;="&amp;AT$4,'案件台帳'!$F$6:$F$65,"&gt;="&amp;AT$4)+COUNTIFS('案件台帳'!$C$6:$C$65,$A10,'案件台帳'!$E$6:$E$65,"",'案件台帳'!$F$6:$F$65,"&gt;="&amp;AT$4)&gt;0,"■",""))</f>
        <v/>
      </c>
      <c r="AU10" s="29">
        <f>IF($A10="","",IF(COUNTIFS('案件台帳'!$C$6:$C$65,$A10,'案件台帳'!$E$6:$E$65,"&lt;="&amp;AU$4,'案件台帳'!$F$6:$F$65,"&gt;="&amp;AU$4)+COUNTIFS('案件台帳'!$C$6:$C$65,$A10,'案件台帳'!$E$6:$E$65,"",'案件台帳'!$F$6:$F$65,"&gt;="&amp;AU$4)&gt;0,"■",""))</f>
        <v/>
      </c>
      <c r="AV10" s="29">
        <f>IF($A10="","",IF(COUNTIFS('案件台帳'!$C$6:$C$65,$A10,'案件台帳'!$E$6:$E$65,"&lt;="&amp;AV$4,'案件台帳'!$F$6:$F$65,"&gt;="&amp;AV$4)+COUNTIFS('案件台帳'!$C$6:$C$65,$A10,'案件台帳'!$E$6:$E$65,"",'案件台帳'!$F$6:$F$65,"&gt;="&amp;AV$4)&gt;0,"■",""))</f>
        <v/>
      </c>
      <c r="AW10" s="29">
        <f>IF($A10="","",IF(COUNTIFS('案件台帳'!$C$6:$C$65,$A10,'案件台帳'!$E$6:$E$65,"&lt;="&amp;AW$4,'案件台帳'!$F$6:$F$65,"&gt;="&amp;AW$4)+COUNTIFS('案件台帳'!$C$6:$C$65,$A10,'案件台帳'!$E$6:$E$65,"",'案件台帳'!$F$6:$F$65,"&gt;="&amp;AW$4)&gt;0,"■",""))</f>
        <v/>
      </c>
      <c r="AX10" s="29">
        <f>IF($A10="","",IF(COUNTIFS('案件台帳'!$C$6:$C$65,$A10,'案件台帳'!$E$6:$E$65,"&lt;="&amp;AX$4,'案件台帳'!$F$6:$F$65,"&gt;="&amp;AX$4)+COUNTIFS('案件台帳'!$C$6:$C$65,$A10,'案件台帳'!$E$6:$E$65,"",'案件台帳'!$F$6:$F$65,"&gt;="&amp;AX$4)&gt;0,"■",""))</f>
        <v/>
      </c>
      <c r="AY10" s="29">
        <f>IF($A10="","",IF(COUNTIFS('案件台帳'!$C$6:$C$65,$A10,'案件台帳'!$E$6:$E$65,"&lt;="&amp;AY$4,'案件台帳'!$F$6:$F$65,"&gt;="&amp;AY$4)+COUNTIFS('案件台帳'!$C$6:$C$65,$A10,'案件台帳'!$E$6:$E$65,"",'案件台帳'!$F$6:$F$65,"&gt;="&amp;AY$4)&gt;0,"■",""))</f>
        <v/>
      </c>
      <c r="AZ10" s="29">
        <f>IF($A10="","",IF(COUNTIFS('案件台帳'!$C$6:$C$65,$A10,'案件台帳'!$E$6:$E$65,"&lt;="&amp;AZ$4,'案件台帳'!$F$6:$F$65,"&gt;="&amp;AZ$4)+COUNTIFS('案件台帳'!$C$6:$C$65,$A10,'案件台帳'!$E$6:$E$65,"",'案件台帳'!$F$6:$F$65,"&gt;="&amp;AZ$4)&gt;0,"■",""))</f>
        <v/>
      </c>
      <c r="BA10" s="29">
        <f>IF($A10="","",IF(COUNTIFS('案件台帳'!$C$6:$C$65,$A10,'案件台帳'!$E$6:$E$65,"&lt;="&amp;BA$4,'案件台帳'!$F$6:$F$65,"&gt;="&amp;BA$4)+COUNTIFS('案件台帳'!$C$6:$C$65,$A10,'案件台帳'!$E$6:$E$65,"",'案件台帳'!$F$6:$F$65,"&gt;="&amp;BA$4)&gt;0,"■",""))</f>
        <v/>
      </c>
      <c r="BB10" s="29">
        <f>IF($A10="","",IF(COUNTIFS('案件台帳'!$C$6:$C$65,$A10,'案件台帳'!$E$6:$E$65,"&lt;="&amp;BB$4,'案件台帳'!$F$6:$F$65,"&gt;="&amp;BB$4)+COUNTIFS('案件台帳'!$C$6:$C$65,$A10,'案件台帳'!$E$6:$E$65,"",'案件台帳'!$F$6:$F$65,"&gt;="&amp;BB$4)&gt;0,"■",""))</f>
        <v/>
      </c>
      <c r="BC10" s="29">
        <f>IF($A10="","",IF(COUNTIFS('案件台帳'!$C$6:$C$65,$A10,'案件台帳'!$E$6:$E$65,"&lt;="&amp;BC$4,'案件台帳'!$F$6:$F$65,"&gt;="&amp;BC$4)+COUNTIFS('案件台帳'!$C$6:$C$65,$A10,'案件台帳'!$E$6:$E$65,"",'案件台帳'!$F$6:$F$65,"&gt;="&amp;BC$4)&gt;0,"■",""))</f>
        <v/>
      </c>
      <c r="BD10" s="29">
        <f>IF($A10="","",IF(COUNTIFS('案件台帳'!$C$6:$C$65,$A10,'案件台帳'!$E$6:$E$65,"&lt;="&amp;BD$4,'案件台帳'!$F$6:$F$65,"&gt;="&amp;BD$4)+COUNTIFS('案件台帳'!$C$6:$C$65,$A10,'案件台帳'!$E$6:$E$65,"",'案件台帳'!$F$6:$F$65,"&gt;="&amp;BD$4)&gt;0,"■",""))</f>
        <v/>
      </c>
      <c r="BE10" s="29">
        <f>IF($A10="","",IF(COUNTIFS('案件台帳'!$C$6:$C$65,$A10,'案件台帳'!$E$6:$E$65,"&lt;="&amp;BE$4,'案件台帳'!$F$6:$F$65,"&gt;="&amp;BE$4)+COUNTIFS('案件台帳'!$C$6:$C$65,$A10,'案件台帳'!$E$6:$E$65,"",'案件台帳'!$F$6:$F$65,"&gt;="&amp;BE$4)&gt;0,"■",""))</f>
        <v/>
      </c>
      <c r="BF10" s="29">
        <f>IF($A10="","",IF(COUNTIFS('案件台帳'!$C$6:$C$65,$A10,'案件台帳'!$E$6:$E$65,"&lt;="&amp;BF$4,'案件台帳'!$F$6:$F$65,"&gt;="&amp;BF$4)+COUNTIFS('案件台帳'!$C$6:$C$65,$A10,'案件台帳'!$E$6:$E$65,"",'案件台帳'!$F$6:$F$65,"&gt;="&amp;BF$4)&gt;0,"■",""))</f>
        <v/>
      </c>
      <c r="BG10" s="29">
        <f>IF($A10="","",IF(COUNTIFS('案件台帳'!$C$6:$C$65,$A10,'案件台帳'!$E$6:$E$65,"&lt;="&amp;BG$4,'案件台帳'!$F$6:$F$65,"&gt;="&amp;BG$4)+COUNTIFS('案件台帳'!$C$6:$C$65,$A10,'案件台帳'!$E$6:$E$65,"",'案件台帳'!$F$6:$F$65,"&gt;="&amp;BG$4)&gt;0,"■",""))</f>
        <v/>
      </c>
      <c r="BH10" s="29">
        <f>IF($A10="","",IF(COUNTIFS('案件台帳'!$C$6:$C$65,$A10,'案件台帳'!$E$6:$E$65,"&lt;="&amp;BH$4,'案件台帳'!$F$6:$F$65,"&gt;="&amp;BH$4)+COUNTIFS('案件台帳'!$C$6:$C$65,$A10,'案件台帳'!$E$6:$E$65,"",'案件台帳'!$F$6:$F$65,"&gt;="&amp;BH$4)&gt;0,"■",""))</f>
        <v/>
      </c>
      <c r="BI10" s="29">
        <f>IF($A10="","",IF(COUNTIFS('案件台帳'!$C$6:$C$65,$A10,'案件台帳'!$E$6:$E$65,"&lt;="&amp;BI$4,'案件台帳'!$F$6:$F$65,"&gt;="&amp;BI$4)+COUNTIFS('案件台帳'!$C$6:$C$65,$A10,'案件台帳'!$E$6:$E$65,"",'案件台帳'!$F$6:$F$65,"&gt;="&amp;BI$4)&gt;0,"■",""))</f>
        <v/>
      </c>
      <c r="BJ10" s="29">
        <f>IF($A10="","",IF(COUNTIFS('案件台帳'!$C$6:$C$65,$A10,'案件台帳'!$E$6:$E$65,"&lt;="&amp;BJ$4,'案件台帳'!$F$6:$F$65,"&gt;="&amp;BJ$4)+COUNTIFS('案件台帳'!$C$6:$C$65,$A10,'案件台帳'!$E$6:$E$65,"",'案件台帳'!$F$6:$F$65,"&gt;="&amp;BJ$4)&gt;0,"■",""))</f>
        <v/>
      </c>
      <c r="BK10" s="29">
        <f>IF($A10="","",IF(COUNTIFS('案件台帳'!$C$6:$C$65,$A10,'案件台帳'!$E$6:$E$65,"&lt;="&amp;BK$4,'案件台帳'!$F$6:$F$65,"&gt;="&amp;BK$4)+COUNTIFS('案件台帳'!$C$6:$C$65,$A10,'案件台帳'!$E$6:$E$65,"",'案件台帳'!$F$6:$F$65,"&gt;="&amp;BK$4)&gt;0,"■",""))</f>
        <v/>
      </c>
      <c r="BL10" s="29">
        <f>IF($A10="","",IF(COUNTIFS('案件台帳'!$C$6:$C$65,$A10,'案件台帳'!$E$6:$E$65,"&lt;="&amp;BL$4,'案件台帳'!$F$6:$F$65,"&gt;="&amp;BL$4)+COUNTIFS('案件台帳'!$C$6:$C$65,$A10,'案件台帳'!$E$6:$E$65,"",'案件台帳'!$F$6:$F$65,"&gt;="&amp;BL$4)&gt;0,"■",""))</f>
        <v/>
      </c>
    </row>
    <row r="11">
      <c r="A11" s="24">
        <f>IF(職人ダッシュボード!$A$10="","",職人ダッシュボード!$A$10)</f>
        <v/>
      </c>
      <c r="B11" s="29">
        <f>IF($A11="","",IF(COUNTIFS('案件台帳'!$C$6:$C$65,$A11,'案件台帳'!$E$6:$E$65,"&lt;="&amp;B$4,'案件台帳'!$F$6:$F$65,"&gt;="&amp;B$4)+COUNTIFS('案件台帳'!$C$6:$C$65,$A11,'案件台帳'!$E$6:$E$65,"",'案件台帳'!$F$6:$F$65,"&gt;="&amp;B$4)&gt;0,"■",""))</f>
        <v/>
      </c>
      <c r="C11" s="29">
        <f>IF($A11="","",IF(COUNTIFS('案件台帳'!$C$6:$C$65,$A11,'案件台帳'!$E$6:$E$65,"&lt;="&amp;C$4,'案件台帳'!$F$6:$F$65,"&gt;="&amp;C$4)+COUNTIFS('案件台帳'!$C$6:$C$65,$A11,'案件台帳'!$E$6:$E$65,"",'案件台帳'!$F$6:$F$65,"&gt;="&amp;C$4)&gt;0,"■",""))</f>
        <v/>
      </c>
      <c r="D11" s="29">
        <f>IF($A11="","",IF(COUNTIFS('案件台帳'!$C$6:$C$65,$A11,'案件台帳'!$E$6:$E$65,"&lt;="&amp;D$4,'案件台帳'!$F$6:$F$65,"&gt;="&amp;D$4)+COUNTIFS('案件台帳'!$C$6:$C$65,$A11,'案件台帳'!$E$6:$E$65,"",'案件台帳'!$F$6:$F$65,"&gt;="&amp;D$4)&gt;0,"■",""))</f>
        <v/>
      </c>
      <c r="E11" s="29">
        <f>IF($A11="","",IF(COUNTIFS('案件台帳'!$C$6:$C$65,$A11,'案件台帳'!$E$6:$E$65,"&lt;="&amp;E$4,'案件台帳'!$F$6:$F$65,"&gt;="&amp;E$4)+COUNTIFS('案件台帳'!$C$6:$C$65,$A11,'案件台帳'!$E$6:$E$65,"",'案件台帳'!$F$6:$F$65,"&gt;="&amp;E$4)&gt;0,"■",""))</f>
        <v/>
      </c>
      <c r="F11" s="29">
        <f>IF($A11="","",IF(COUNTIFS('案件台帳'!$C$6:$C$65,$A11,'案件台帳'!$E$6:$E$65,"&lt;="&amp;F$4,'案件台帳'!$F$6:$F$65,"&gt;="&amp;F$4)+COUNTIFS('案件台帳'!$C$6:$C$65,$A11,'案件台帳'!$E$6:$E$65,"",'案件台帳'!$F$6:$F$65,"&gt;="&amp;F$4)&gt;0,"■",""))</f>
        <v/>
      </c>
      <c r="G11" s="29">
        <f>IF($A11="","",IF(COUNTIFS('案件台帳'!$C$6:$C$65,$A11,'案件台帳'!$E$6:$E$65,"&lt;="&amp;G$4,'案件台帳'!$F$6:$F$65,"&gt;="&amp;G$4)+COUNTIFS('案件台帳'!$C$6:$C$65,$A11,'案件台帳'!$E$6:$E$65,"",'案件台帳'!$F$6:$F$65,"&gt;="&amp;G$4)&gt;0,"■",""))</f>
        <v/>
      </c>
      <c r="H11" s="29">
        <f>IF($A11="","",IF(COUNTIFS('案件台帳'!$C$6:$C$65,$A11,'案件台帳'!$E$6:$E$65,"&lt;="&amp;H$4,'案件台帳'!$F$6:$F$65,"&gt;="&amp;H$4)+COUNTIFS('案件台帳'!$C$6:$C$65,$A11,'案件台帳'!$E$6:$E$65,"",'案件台帳'!$F$6:$F$65,"&gt;="&amp;H$4)&gt;0,"■",""))</f>
        <v/>
      </c>
      <c r="I11" s="29">
        <f>IF($A11="","",IF(COUNTIFS('案件台帳'!$C$6:$C$65,$A11,'案件台帳'!$E$6:$E$65,"&lt;="&amp;I$4,'案件台帳'!$F$6:$F$65,"&gt;="&amp;I$4)+COUNTIFS('案件台帳'!$C$6:$C$65,$A11,'案件台帳'!$E$6:$E$65,"",'案件台帳'!$F$6:$F$65,"&gt;="&amp;I$4)&gt;0,"■",""))</f>
        <v/>
      </c>
      <c r="J11" s="29">
        <f>IF($A11="","",IF(COUNTIFS('案件台帳'!$C$6:$C$65,$A11,'案件台帳'!$E$6:$E$65,"&lt;="&amp;J$4,'案件台帳'!$F$6:$F$65,"&gt;="&amp;J$4)+COUNTIFS('案件台帳'!$C$6:$C$65,$A11,'案件台帳'!$E$6:$E$65,"",'案件台帳'!$F$6:$F$65,"&gt;="&amp;J$4)&gt;0,"■",""))</f>
        <v/>
      </c>
      <c r="K11" s="29">
        <f>IF($A11="","",IF(COUNTIFS('案件台帳'!$C$6:$C$65,$A11,'案件台帳'!$E$6:$E$65,"&lt;="&amp;K$4,'案件台帳'!$F$6:$F$65,"&gt;="&amp;K$4)+COUNTIFS('案件台帳'!$C$6:$C$65,$A11,'案件台帳'!$E$6:$E$65,"",'案件台帳'!$F$6:$F$65,"&gt;="&amp;K$4)&gt;0,"■",""))</f>
        <v/>
      </c>
      <c r="L11" s="29">
        <f>IF($A11="","",IF(COUNTIFS('案件台帳'!$C$6:$C$65,$A11,'案件台帳'!$E$6:$E$65,"&lt;="&amp;L$4,'案件台帳'!$F$6:$F$65,"&gt;="&amp;L$4)+COUNTIFS('案件台帳'!$C$6:$C$65,$A11,'案件台帳'!$E$6:$E$65,"",'案件台帳'!$F$6:$F$65,"&gt;="&amp;L$4)&gt;0,"■",""))</f>
        <v/>
      </c>
      <c r="M11" s="29">
        <f>IF($A11="","",IF(COUNTIFS('案件台帳'!$C$6:$C$65,$A11,'案件台帳'!$E$6:$E$65,"&lt;="&amp;M$4,'案件台帳'!$F$6:$F$65,"&gt;="&amp;M$4)+COUNTIFS('案件台帳'!$C$6:$C$65,$A11,'案件台帳'!$E$6:$E$65,"",'案件台帳'!$F$6:$F$65,"&gt;="&amp;M$4)&gt;0,"■",""))</f>
        <v/>
      </c>
      <c r="N11" s="29">
        <f>IF($A11="","",IF(COUNTIFS('案件台帳'!$C$6:$C$65,$A11,'案件台帳'!$E$6:$E$65,"&lt;="&amp;N$4,'案件台帳'!$F$6:$F$65,"&gt;="&amp;N$4)+COUNTIFS('案件台帳'!$C$6:$C$65,$A11,'案件台帳'!$E$6:$E$65,"",'案件台帳'!$F$6:$F$65,"&gt;="&amp;N$4)&gt;0,"■",""))</f>
        <v/>
      </c>
      <c r="O11" s="29">
        <f>IF($A11="","",IF(COUNTIFS('案件台帳'!$C$6:$C$65,$A11,'案件台帳'!$E$6:$E$65,"&lt;="&amp;O$4,'案件台帳'!$F$6:$F$65,"&gt;="&amp;O$4)+COUNTIFS('案件台帳'!$C$6:$C$65,$A11,'案件台帳'!$E$6:$E$65,"",'案件台帳'!$F$6:$F$65,"&gt;="&amp;O$4)&gt;0,"■",""))</f>
        <v/>
      </c>
      <c r="P11" s="29">
        <f>IF($A11="","",IF(COUNTIFS('案件台帳'!$C$6:$C$65,$A11,'案件台帳'!$E$6:$E$65,"&lt;="&amp;P$4,'案件台帳'!$F$6:$F$65,"&gt;="&amp;P$4)+COUNTIFS('案件台帳'!$C$6:$C$65,$A11,'案件台帳'!$E$6:$E$65,"",'案件台帳'!$F$6:$F$65,"&gt;="&amp;P$4)&gt;0,"■",""))</f>
        <v/>
      </c>
      <c r="Q11" s="29">
        <f>IF($A11="","",IF(COUNTIFS('案件台帳'!$C$6:$C$65,$A11,'案件台帳'!$E$6:$E$65,"&lt;="&amp;Q$4,'案件台帳'!$F$6:$F$65,"&gt;="&amp;Q$4)+COUNTIFS('案件台帳'!$C$6:$C$65,$A11,'案件台帳'!$E$6:$E$65,"",'案件台帳'!$F$6:$F$65,"&gt;="&amp;Q$4)&gt;0,"■",""))</f>
        <v/>
      </c>
      <c r="R11" s="29">
        <f>IF($A11="","",IF(COUNTIFS('案件台帳'!$C$6:$C$65,$A11,'案件台帳'!$E$6:$E$65,"&lt;="&amp;R$4,'案件台帳'!$F$6:$F$65,"&gt;="&amp;R$4)+COUNTIFS('案件台帳'!$C$6:$C$65,$A11,'案件台帳'!$E$6:$E$65,"",'案件台帳'!$F$6:$F$65,"&gt;="&amp;R$4)&gt;0,"■",""))</f>
        <v/>
      </c>
      <c r="S11" s="29">
        <f>IF($A11="","",IF(COUNTIFS('案件台帳'!$C$6:$C$65,$A11,'案件台帳'!$E$6:$E$65,"&lt;="&amp;S$4,'案件台帳'!$F$6:$F$65,"&gt;="&amp;S$4)+COUNTIFS('案件台帳'!$C$6:$C$65,$A11,'案件台帳'!$E$6:$E$65,"",'案件台帳'!$F$6:$F$65,"&gt;="&amp;S$4)&gt;0,"■",""))</f>
        <v/>
      </c>
      <c r="T11" s="29">
        <f>IF($A11="","",IF(COUNTIFS('案件台帳'!$C$6:$C$65,$A11,'案件台帳'!$E$6:$E$65,"&lt;="&amp;T$4,'案件台帳'!$F$6:$F$65,"&gt;="&amp;T$4)+COUNTIFS('案件台帳'!$C$6:$C$65,$A11,'案件台帳'!$E$6:$E$65,"",'案件台帳'!$F$6:$F$65,"&gt;="&amp;T$4)&gt;0,"■",""))</f>
        <v/>
      </c>
      <c r="U11" s="29">
        <f>IF($A11="","",IF(COUNTIFS('案件台帳'!$C$6:$C$65,$A11,'案件台帳'!$E$6:$E$65,"&lt;="&amp;U$4,'案件台帳'!$F$6:$F$65,"&gt;="&amp;U$4)+COUNTIFS('案件台帳'!$C$6:$C$65,$A11,'案件台帳'!$E$6:$E$65,"",'案件台帳'!$F$6:$F$65,"&gt;="&amp;U$4)&gt;0,"■",""))</f>
        <v/>
      </c>
      <c r="V11" s="29">
        <f>IF($A11="","",IF(COUNTIFS('案件台帳'!$C$6:$C$65,$A11,'案件台帳'!$E$6:$E$65,"&lt;="&amp;V$4,'案件台帳'!$F$6:$F$65,"&gt;="&amp;V$4)+COUNTIFS('案件台帳'!$C$6:$C$65,$A11,'案件台帳'!$E$6:$E$65,"",'案件台帳'!$F$6:$F$65,"&gt;="&amp;V$4)&gt;0,"■",""))</f>
        <v/>
      </c>
      <c r="W11" s="29">
        <f>IF($A11="","",IF(COUNTIFS('案件台帳'!$C$6:$C$65,$A11,'案件台帳'!$E$6:$E$65,"&lt;="&amp;W$4,'案件台帳'!$F$6:$F$65,"&gt;="&amp;W$4)+COUNTIFS('案件台帳'!$C$6:$C$65,$A11,'案件台帳'!$E$6:$E$65,"",'案件台帳'!$F$6:$F$65,"&gt;="&amp;W$4)&gt;0,"■",""))</f>
        <v/>
      </c>
      <c r="X11" s="29">
        <f>IF($A11="","",IF(COUNTIFS('案件台帳'!$C$6:$C$65,$A11,'案件台帳'!$E$6:$E$65,"&lt;="&amp;X$4,'案件台帳'!$F$6:$F$65,"&gt;="&amp;X$4)+COUNTIFS('案件台帳'!$C$6:$C$65,$A11,'案件台帳'!$E$6:$E$65,"",'案件台帳'!$F$6:$F$65,"&gt;="&amp;X$4)&gt;0,"■",""))</f>
        <v/>
      </c>
      <c r="Y11" s="29">
        <f>IF($A11="","",IF(COUNTIFS('案件台帳'!$C$6:$C$65,$A11,'案件台帳'!$E$6:$E$65,"&lt;="&amp;Y$4,'案件台帳'!$F$6:$F$65,"&gt;="&amp;Y$4)+COUNTIFS('案件台帳'!$C$6:$C$65,$A11,'案件台帳'!$E$6:$E$65,"",'案件台帳'!$F$6:$F$65,"&gt;="&amp;Y$4)&gt;0,"■",""))</f>
        <v/>
      </c>
      <c r="Z11" s="29">
        <f>IF($A11="","",IF(COUNTIFS('案件台帳'!$C$6:$C$65,$A11,'案件台帳'!$E$6:$E$65,"&lt;="&amp;Z$4,'案件台帳'!$F$6:$F$65,"&gt;="&amp;Z$4)+COUNTIFS('案件台帳'!$C$6:$C$65,$A11,'案件台帳'!$E$6:$E$65,"",'案件台帳'!$F$6:$F$65,"&gt;="&amp;Z$4)&gt;0,"■",""))</f>
        <v/>
      </c>
      <c r="AA11" s="29">
        <f>IF($A11="","",IF(COUNTIFS('案件台帳'!$C$6:$C$65,$A11,'案件台帳'!$E$6:$E$65,"&lt;="&amp;AA$4,'案件台帳'!$F$6:$F$65,"&gt;="&amp;AA$4)+COUNTIFS('案件台帳'!$C$6:$C$65,$A11,'案件台帳'!$E$6:$E$65,"",'案件台帳'!$F$6:$F$65,"&gt;="&amp;AA$4)&gt;0,"■",""))</f>
        <v/>
      </c>
      <c r="AB11" s="29">
        <f>IF($A11="","",IF(COUNTIFS('案件台帳'!$C$6:$C$65,$A11,'案件台帳'!$E$6:$E$65,"&lt;="&amp;AB$4,'案件台帳'!$F$6:$F$65,"&gt;="&amp;AB$4)+COUNTIFS('案件台帳'!$C$6:$C$65,$A11,'案件台帳'!$E$6:$E$65,"",'案件台帳'!$F$6:$F$65,"&gt;="&amp;AB$4)&gt;0,"■",""))</f>
        <v/>
      </c>
      <c r="AC11" s="29">
        <f>IF($A11="","",IF(COUNTIFS('案件台帳'!$C$6:$C$65,$A11,'案件台帳'!$E$6:$E$65,"&lt;="&amp;AC$4,'案件台帳'!$F$6:$F$65,"&gt;="&amp;AC$4)+COUNTIFS('案件台帳'!$C$6:$C$65,$A11,'案件台帳'!$E$6:$E$65,"",'案件台帳'!$F$6:$F$65,"&gt;="&amp;AC$4)&gt;0,"■",""))</f>
        <v/>
      </c>
      <c r="AD11" s="29">
        <f>IF($A11="","",IF(COUNTIFS('案件台帳'!$C$6:$C$65,$A11,'案件台帳'!$E$6:$E$65,"&lt;="&amp;AD$4,'案件台帳'!$F$6:$F$65,"&gt;="&amp;AD$4)+COUNTIFS('案件台帳'!$C$6:$C$65,$A11,'案件台帳'!$E$6:$E$65,"",'案件台帳'!$F$6:$F$65,"&gt;="&amp;AD$4)&gt;0,"■",""))</f>
        <v/>
      </c>
      <c r="AE11" s="29">
        <f>IF($A11="","",IF(COUNTIFS('案件台帳'!$C$6:$C$65,$A11,'案件台帳'!$E$6:$E$65,"&lt;="&amp;AE$4,'案件台帳'!$F$6:$F$65,"&gt;="&amp;AE$4)+COUNTIFS('案件台帳'!$C$6:$C$65,$A11,'案件台帳'!$E$6:$E$65,"",'案件台帳'!$F$6:$F$65,"&gt;="&amp;AE$4)&gt;0,"■",""))</f>
        <v/>
      </c>
      <c r="AF11" s="29">
        <f>IF($A11="","",IF(COUNTIFS('案件台帳'!$C$6:$C$65,$A11,'案件台帳'!$E$6:$E$65,"&lt;="&amp;AF$4,'案件台帳'!$F$6:$F$65,"&gt;="&amp;AF$4)+COUNTIFS('案件台帳'!$C$6:$C$65,$A11,'案件台帳'!$E$6:$E$65,"",'案件台帳'!$F$6:$F$65,"&gt;="&amp;AF$4)&gt;0,"■",""))</f>
        <v/>
      </c>
      <c r="AG11" s="29">
        <f>IF($A11="","",IF(COUNTIFS('案件台帳'!$C$6:$C$65,$A11,'案件台帳'!$E$6:$E$65,"&lt;="&amp;AG$4,'案件台帳'!$F$6:$F$65,"&gt;="&amp;AG$4)+COUNTIFS('案件台帳'!$C$6:$C$65,$A11,'案件台帳'!$E$6:$E$65,"",'案件台帳'!$F$6:$F$65,"&gt;="&amp;AG$4)&gt;0,"■",""))</f>
        <v/>
      </c>
      <c r="AH11" s="29">
        <f>IF($A11="","",IF(COUNTIFS('案件台帳'!$C$6:$C$65,$A11,'案件台帳'!$E$6:$E$65,"&lt;="&amp;AH$4,'案件台帳'!$F$6:$F$65,"&gt;="&amp;AH$4)+COUNTIFS('案件台帳'!$C$6:$C$65,$A11,'案件台帳'!$E$6:$E$65,"",'案件台帳'!$F$6:$F$65,"&gt;="&amp;AH$4)&gt;0,"■",""))</f>
        <v/>
      </c>
      <c r="AI11" s="29">
        <f>IF($A11="","",IF(COUNTIFS('案件台帳'!$C$6:$C$65,$A11,'案件台帳'!$E$6:$E$65,"&lt;="&amp;AI$4,'案件台帳'!$F$6:$F$65,"&gt;="&amp;AI$4)+COUNTIFS('案件台帳'!$C$6:$C$65,$A11,'案件台帳'!$E$6:$E$65,"",'案件台帳'!$F$6:$F$65,"&gt;="&amp;AI$4)&gt;0,"■",""))</f>
        <v/>
      </c>
      <c r="AJ11" s="29">
        <f>IF($A11="","",IF(COUNTIFS('案件台帳'!$C$6:$C$65,$A11,'案件台帳'!$E$6:$E$65,"&lt;="&amp;AJ$4,'案件台帳'!$F$6:$F$65,"&gt;="&amp;AJ$4)+COUNTIFS('案件台帳'!$C$6:$C$65,$A11,'案件台帳'!$E$6:$E$65,"",'案件台帳'!$F$6:$F$65,"&gt;="&amp;AJ$4)&gt;0,"■",""))</f>
        <v/>
      </c>
      <c r="AK11" s="29">
        <f>IF($A11="","",IF(COUNTIFS('案件台帳'!$C$6:$C$65,$A11,'案件台帳'!$E$6:$E$65,"&lt;="&amp;AK$4,'案件台帳'!$F$6:$F$65,"&gt;="&amp;AK$4)+COUNTIFS('案件台帳'!$C$6:$C$65,$A11,'案件台帳'!$E$6:$E$65,"",'案件台帳'!$F$6:$F$65,"&gt;="&amp;AK$4)&gt;0,"■",""))</f>
        <v/>
      </c>
      <c r="AL11" s="29">
        <f>IF($A11="","",IF(COUNTIFS('案件台帳'!$C$6:$C$65,$A11,'案件台帳'!$E$6:$E$65,"&lt;="&amp;AL$4,'案件台帳'!$F$6:$F$65,"&gt;="&amp;AL$4)+COUNTIFS('案件台帳'!$C$6:$C$65,$A11,'案件台帳'!$E$6:$E$65,"",'案件台帳'!$F$6:$F$65,"&gt;="&amp;AL$4)&gt;0,"■",""))</f>
        <v/>
      </c>
      <c r="AM11" s="29">
        <f>IF($A11="","",IF(COUNTIFS('案件台帳'!$C$6:$C$65,$A11,'案件台帳'!$E$6:$E$65,"&lt;="&amp;AM$4,'案件台帳'!$F$6:$F$65,"&gt;="&amp;AM$4)+COUNTIFS('案件台帳'!$C$6:$C$65,$A11,'案件台帳'!$E$6:$E$65,"",'案件台帳'!$F$6:$F$65,"&gt;="&amp;AM$4)&gt;0,"■",""))</f>
        <v/>
      </c>
      <c r="AN11" s="29">
        <f>IF($A11="","",IF(COUNTIFS('案件台帳'!$C$6:$C$65,$A11,'案件台帳'!$E$6:$E$65,"&lt;="&amp;AN$4,'案件台帳'!$F$6:$F$65,"&gt;="&amp;AN$4)+COUNTIFS('案件台帳'!$C$6:$C$65,$A11,'案件台帳'!$E$6:$E$65,"",'案件台帳'!$F$6:$F$65,"&gt;="&amp;AN$4)&gt;0,"■",""))</f>
        <v/>
      </c>
      <c r="AO11" s="29">
        <f>IF($A11="","",IF(COUNTIFS('案件台帳'!$C$6:$C$65,$A11,'案件台帳'!$E$6:$E$65,"&lt;="&amp;AO$4,'案件台帳'!$F$6:$F$65,"&gt;="&amp;AO$4)+COUNTIFS('案件台帳'!$C$6:$C$65,$A11,'案件台帳'!$E$6:$E$65,"",'案件台帳'!$F$6:$F$65,"&gt;="&amp;AO$4)&gt;0,"■",""))</f>
        <v/>
      </c>
      <c r="AP11" s="29">
        <f>IF($A11="","",IF(COUNTIFS('案件台帳'!$C$6:$C$65,$A11,'案件台帳'!$E$6:$E$65,"&lt;="&amp;AP$4,'案件台帳'!$F$6:$F$65,"&gt;="&amp;AP$4)+COUNTIFS('案件台帳'!$C$6:$C$65,$A11,'案件台帳'!$E$6:$E$65,"",'案件台帳'!$F$6:$F$65,"&gt;="&amp;AP$4)&gt;0,"■",""))</f>
        <v/>
      </c>
      <c r="AQ11" s="29">
        <f>IF($A11="","",IF(COUNTIFS('案件台帳'!$C$6:$C$65,$A11,'案件台帳'!$E$6:$E$65,"&lt;="&amp;AQ$4,'案件台帳'!$F$6:$F$65,"&gt;="&amp;AQ$4)+COUNTIFS('案件台帳'!$C$6:$C$65,$A11,'案件台帳'!$E$6:$E$65,"",'案件台帳'!$F$6:$F$65,"&gt;="&amp;AQ$4)&gt;0,"■",""))</f>
        <v/>
      </c>
      <c r="AR11" s="29">
        <f>IF($A11="","",IF(COUNTIFS('案件台帳'!$C$6:$C$65,$A11,'案件台帳'!$E$6:$E$65,"&lt;="&amp;AR$4,'案件台帳'!$F$6:$F$65,"&gt;="&amp;AR$4)+COUNTIFS('案件台帳'!$C$6:$C$65,$A11,'案件台帳'!$E$6:$E$65,"",'案件台帳'!$F$6:$F$65,"&gt;="&amp;AR$4)&gt;0,"■",""))</f>
        <v/>
      </c>
      <c r="AS11" s="29">
        <f>IF($A11="","",IF(COUNTIFS('案件台帳'!$C$6:$C$65,$A11,'案件台帳'!$E$6:$E$65,"&lt;="&amp;AS$4,'案件台帳'!$F$6:$F$65,"&gt;="&amp;AS$4)+COUNTIFS('案件台帳'!$C$6:$C$65,$A11,'案件台帳'!$E$6:$E$65,"",'案件台帳'!$F$6:$F$65,"&gt;="&amp;AS$4)&gt;0,"■",""))</f>
        <v/>
      </c>
      <c r="AT11" s="29">
        <f>IF($A11="","",IF(COUNTIFS('案件台帳'!$C$6:$C$65,$A11,'案件台帳'!$E$6:$E$65,"&lt;="&amp;AT$4,'案件台帳'!$F$6:$F$65,"&gt;="&amp;AT$4)+COUNTIFS('案件台帳'!$C$6:$C$65,$A11,'案件台帳'!$E$6:$E$65,"",'案件台帳'!$F$6:$F$65,"&gt;="&amp;AT$4)&gt;0,"■",""))</f>
        <v/>
      </c>
      <c r="AU11" s="29">
        <f>IF($A11="","",IF(COUNTIFS('案件台帳'!$C$6:$C$65,$A11,'案件台帳'!$E$6:$E$65,"&lt;="&amp;AU$4,'案件台帳'!$F$6:$F$65,"&gt;="&amp;AU$4)+COUNTIFS('案件台帳'!$C$6:$C$65,$A11,'案件台帳'!$E$6:$E$65,"",'案件台帳'!$F$6:$F$65,"&gt;="&amp;AU$4)&gt;0,"■",""))</f>
        <v/>
      </c>
      <c r="AV11" s="29">
        <f>IF($A11="","",IF(COUNTIFS('案件台帳'!$C$6:$C$65,$A11,'案件台帳'!$E$6:$E$65,"&lt;="&amp;AV$4,'案件台帳'!$F$6:$F$65,"&gt;="&amp;AV$4)+COUNTIFS('案件台帳'!$C$6:$C$65,$A11,'案件台帳'!$E$6:$E$65,"",'案件台帳'!$F$6:$F$65,"&gt;="&amp;AV$4)&gt;0,"■",""))</f>
        <v/>
      </c>
      <c r="AW11" s="29">
        <f>IF($A11="","",IF(COUNTIFS('案件台帳'!$C$6:$C$65,$A11,'案件台帳'!$E$6:$E$65,"&lt;="&amp;AW$4,'案件台帳'!$F$6:$F$65,"&gt;="&amp;AW$4)+COUNTIFS('案件台帳'!$C$6:$C$65,$A11,'案件台帳'!$E$6:$E$65,"",'案件台帳'!$F$6:$F$65,"&gt;="&amp;AW$4)&gt;0,"■",""))</f>
        <v/>
      </c>
      <c r="AX11" s="29">
        <f>IF($A11="","",IF(COUNTIFS('案件台帳'!$C$6:$C$65,$A11,'案件台帳'!$E$6:$E$65,"&lt;="&amp;AX$4,'案件台帳'!$F$6:$F$65,"&gt;="&amp;AX$4)+COUNTIFS('案件台帳'!$C$6:$C$65,$A11,'案件台帳'!$E$6:$E$65,"",'案件台帳'!$F$6:$F$65,"&gt;="&amp;AX$4)&gt;0,"■",""))</f>
        <v/>
      </c>
      <c r="AY11" s="29">
        <f>IF($A11="","",IF(COUNTIFS('案件台帳'!$C$6:$C$65,$A11,'案件台帳'!$E$6:$E$65,"&lt;="&amp;AY$4,'案件台帳'!$F$6:$F$65,"&gt;="&amp;AY$4)+COUNTIFS('案件台帳'!$C$6:$C$65,$A11,'案件台帳'!$E$6:$E$65,"",'案件台帳'!$F$6:$F$65,"&gt;="&amp;AY$4)&gt;0,"■",""))</f>
        <v/>
      </c>
      <c r="AZ11" s="29">
        <f>IF($A11="","",IF(COUNTIFS('案件台帳'!$C$6:$C$65,$A11,'案件台帳'!$E$6:$E$65,"&lt;="&amp;AZ$4,'案件台帳'!$F$6:$F$65,"&gt;="&amp;AZ$4)+COUNTIFS('案件台帳'!$C$6:$C$65,$A11,'案件台帳'!$E$6:$E$65,"",'案件台帳'!$F$6:$F$65,"&gt;="&amp;AZ$4)&gt;0,"■",""))</f>
        <v/>
      </c>
      <c r="BA11" s="29">
        <f>IF($A11="","",IF(COUNTIFS('案件台帳'!$C$6:$C$65,$A11,'案件台帳'!$E$6:$E$65,"&lt;="&amp;BA$4,'案件台帳'!$F$6:$F$65,"&gt;="&amp;BA$4)+COUNTIFS('案件台帳'!$C$6:$C$65,$A11,'案件台帳'!$E$6:$E$65,"",'案件台帳'!$F$6:$F$65,"&gt;="&amp;BA$4)&gt;0,"■",""))</f>
        <v/>
      </c>
      <c r="BB11" s="29">
        <f>IF($A11="","",IF(COUNTIFS('案件台帳'!$C$6:$C$65,$A11,'案件台帳'!$E$6:$E$65,"&lt;="&amp;BB$4,'案件台帳'!$F$6:$F$65,"&gt;="&amp;BB$4)+COUNTIFS('案件台帳'!$C$6:$C$65,$A11,'案件台帳'!$E$6:$E$65,"",'案件台帳'!$F$6:$F$65,"&gt;="&amp;BB$4)&gt;0,"■",""))</f>
        <v/>
      </c>
      <c r="BC11" s="29">
        <f>IF($A11="","",IF(COUNTIFS('案件台帳'!$C$6:$C$65,$A11,'案件台帳'!$E$6:$E$65,"&lt;="&amp;BC$4,'案件台帳'!$F$6:$F$65,"&gt;="&amp;BC$4)+COUNTIFS('案件台帳'!$C$6:$C$65,$A11,'案件台帳'!$E$6:$E$65,"",'案件台帳'!$F$6:$F$65,"&gt;="&amp;BC$4)&gt;0,"■",""))</f>
        <v/>
      </c>
      <c r="BD11" s="29">
        <f>IF($A11="","",IF(COUNTIFS('案件台帳'!$C$6:$C$65,$A11,'案件台帳'!$E$6:$E$65,"&lt;="&amp;BD$4,'案件台帳'!$F$6:$F$65,"&gt;="&amp;BD$4)+COUNTIFS('案件台帳'!$C$6:$C$65,$A11,'案件台帳'!$E$6:$E$65,"",'案件台帳'!$F$6:$F$65,"&gt;="&amp;BD$4)&gt;0,"■",""))</f>
        <v/>
      </c>
      <c r="BE11" s="29">
        <f>IF($A11="","",IF(COUNTIFS('案件台帳'!$C$6:$C$65,$A11,'案件台帳'!$E$6:$E$65,"&lt;="&amp;BE$4,'案件台帳'!$F$6:$F$65,"&gt;="&amp;BE$4)+COUNTIFS('案件台帳'!$C$6:$C$65,$A11,'案件台帳'!$E$6:$E$65,"",'案件台帳'!$F$6:$F$65,"&gt;="&amp;BE$4)&gt;0,"■",""))</f>
        <v/>
      </c>
      <c r="BF11" s="29">
        <f>IF($A11="","",IF(COUNTIFS('案件台帳'!$C$6:$C$65,$A11,'案件台帳'!$E$6:$E$65,"&lt;="&amp;BF$4,'案件台帳'!$F$6:$F$65,"&gt;="&amp;BF$4)+COUNTIFS('案件台帳'!$C$6:$C$65,$A11,'案件台帳'!$E$6:$E$65,"",'案件台帳'!$F$6:$F$65,"&gt;="&amp;BF$4)&gt;0,"■",""))</f>
        <v/>
      </c>
      <c r="BG11" s="29">
        <f>IF($A11="","",IF(COUNTIFS('案件台帳'!$C$6:$C$65,$A11,'案件台帳'!$E$6:$E$65,"&lt;="&amp;BG$4,'案件台帳'!$F$6:$F$65,"&gt;="&amp;BG$4)+COUNTIFS('案件台帳'!$C$6:$C$65,$A11,'案件台帳'!$E$6:$E$65,"",'案件台帳'!$F$6:$F$65,"&gt;="&amp;BG$4)&gt;0,"■",""))</f>
        <v/>
      </c>
      <c r="BH11" s="29">
        <f>IF($A11="","",IF(COUNTIFS('案件台帳'!$C$6:$C$65,$A11,'案件台帳'!$E$6:$E$65,"&lt;="&amp;BH$4,'案件台帳'!$F$6:$F$65,"&gt;="&amp;BH$4)+COUNTIFS('案件台帳'!$C$6:$C$65,$A11,'案件台帳'!$E$6:$E$65,"",'案件台帳'!$F$6:$F$65,"&gt;="&amp;BH$4)&gt;0,"■",""))</f>
        <v/>
      </c>
      <c r="BI11" s="29">
        <f>IF($A11="","",IF(COUNTIFS('案件台帳'!$C$6:$C$65,$A11,'案件台帳'!$E$6:$E$65,"&lt;="&amp;BI$4,'案件台帳'!$F$6:$F$65,"&gt;="&amp;BI$4)+COUNTIFS('案件台帳'!$C$6:$C$65,$A11,'案件台帳'!$E$6:$E$65,"",'案件台帳'!$F$6:$F$65,"&gt;="&amp;BI$4)&gt;0,"■",""))</f>
        <v/>
      </c>
      <c r="BJ11" s="29">
        <f>IF($A11="","",IF(COUNTIFS('案件台帳'!$C$6:$C$65,$A11,'案件台帳'!$E$6:$E$65,"&lt;="&amp;BJ$4,'案件台帳'!$F$6:$F$65,"&gt;="&amp;BJ$4)+COUNTIFS('案件台帳'!$C$6:$C$65,$A11,'案件台帳'!$E$6:$E$65,"",'案件台帳'!$F$6:$F$65,"&gt;="&amp;BJ$4)&gt;0,"■",""))</f>
        <v/>
      </c>
      <c r="BK11" s="29">
        <f>IF($A11="","",IF(COUNTIFS('案件台帳'!$C$6:$C$65,$A11,'案件台帳'!$E$6:$E$65,"&lt;="&amp;BK$4,'案件台帳'!$F$6:$F$65,"&gt;="&amp;BK$4)+COUNTIFS('案件台帳'!$C$6:$C$65,$A11,'案件台帳'!$E$6:$E$65,"",'案件台帳'!$F$6:$F$65,"&gt;="&amp;BK$4)&gt;0,"■",""))</f>
        <v/>
      </c>
      <c r="BL11" s="29">
        <f>IF($A11="","",IF(COUNTIFS('案件台帳'!$C$6:$C$65,$A11,'案件台帳'!$E$6:$E$65,"&lt;="&amp;BL$4,'案件台帳'!$F$6:$F$65,"&gt;="&amp;BL$4)+COUNTIFS('案件台帳'!$C$6:$C$65,$A11,'案件台帳'!$E$6:$E$65,"",'案件台帳'!$F$6:$F$65,"&gt;="&amp;BL$4)&gt;0,"■",""))</f>
        <v/>
      </c>
    </row>
    <row r="12">
      <c r="A12" s="24">
        <f>IF(職人ダッシュボード!$A$11="","",職人ダッシュボード!$A$11)</f>
        <v/>
      </c>
      <c r="B12" s="29">
        <f>IF($A12="","",IF(COUNTIFS('案件台帳'!$C$6:$C$65,$A12,'案件台帳'!$E$6:$E$65,"&lt;="&amp;B$4,'案件台帳'!$F$6:$F$65,"&gt;="&amp;B$4)+COUNTIFS('案件台帳'!$C$6:$C$65,$A12,'案件台帳'!$E$6:$E$65,"",'案件台帳'!$F$6:$F$65,"&gt;="&amp;B$4)&gt;0,"■",""))</f>
        <v/>
      </c>
      <c r="C12" s="29">
        <f>IF($A12="","",IF(COUNTIFS('案件台帳'!$C$6:$C$65,$A12,'案件台帳'!$E$6:$E$65,"&lt;="&amp;C$4,'案件台帳'!$F$6:$F$65,"&gt;="&amp;C$4)+COUNTIFS('案件台帳'!$C$6:$C$65,$A12,'案件台帳'!$E$6:$E$65,"",'案件台帳'!$F$6:$F$65,"&gt;="&amp;C$4)&gt;0,"■",""))</f>
        <v/>
      </c>
      <c r="D12" s="29">
        <f>IF($A12="","",IF(COUNTIFS('案件台帳'!$C$6:$C$65,$A12,'案件台帳'!$E$6:$E$65,"&lt;="&amp;D$4,'案件台帳'!$F$6:$F$65,"&gt;="&amp;D$4)+COUNTIFS('案件台帳'!$C$6:$C$65,$A12,'案件台帳'!$E$6:$E$65,"",'案件台帳'!$F$6:$F$65,"&gt;="&amp;D$4)&gt;0,"■",""))</f>
        <v/>
      </c>
      <c r="E12" s="29">
        <f>IF($A12="","",IF(COUNTIFS('案件台帳'!$C$6:$C$65,$A12,'案件台帳'!$E$6:$E$65,"&lt;="&amp;E$4,'案件台帳'!$F$6:$F$65,"&gt;="&amp;E$4)+COUNTIFS('案件台帳'!$C$6:$C$65,$A12,'案件台帳'!$E$6:$E$65,"",'案件台帳'!$F$6:$F$65,"&gt;="&amp;E$4)&gt;0,"■",""))</f>
        <v/>
      </c>
      <c r="F12" s="29">
        <f>IF($A12="","",IF(COUNTIFS('案件台帳'!$C$6:$C$65,$A12,'案件台帳'!$E$6:$E$65,"&lt;="&amp;F$4,'案件台帳'!$F$6:$F$65,"&gt;="&amp;F$4)+COUNTIFS('案件台帳'!$C$6:$C$65,$A12,'案件台帳'!$E$6:$E$65,"",'案件台帳'!$F$6:$F$65,"&gt;="&amp;F$4)&gt;0,"■",""))</f>
        <v/>
      </c>
      <c r="G12" s="29">
        <f>IF($A12="","",IF(COUNTIFS('案件台帳'!$C$6:$C$65,$A12,'案件台帳'!$E$6:$E$65,"&lt;="&amp;G$4,'案件台帳'!$F$6:$F$65,"&gt;="&amp;G$4)+COUNTIFS('案件台帳'!$C$6:$C$65,$A12,'案件台帳'!$E$6:$E$65,"",'案件台帳'!$F$6:$F$65,"&gt;="&amp;G$4)&gt;0,"■",""))</f>
        <v/>
      </c>
      <c r="H12" s="29">
        <f>IF($A12="","",IF(COUNTIFS('案件台帳'!$C$6:$C$65,$A12,'案件台帳'!$E$6:$E$65,"&lt;="&amp;H$4,'案件台帳'!$F$6:$F$65,"&gt;="&amp;H$4)+COUNTIFS('案件台帳'!$C$6:$C$65,$A12,'案件台帳'!$E$6:$E$65,"",'案件台帳'!$F$6:$F$65,"&gt;="&amp;H$4)&gt;0,"■",""))</f>
        <v/>
      </c>
      <c r="I12" s="29">
        <f>IF($A12="","",IF(COUNTIFS('案件台帳'!$C$6:$C$65,$A12,'案件台帳'!$E$6:$E$65,"&lt;="&amp;I$4,'案件台帳'!$F$6:$F$65,"&gt;="&amp;I$4)+COUNTIFS('案件台帳'!$C$6:$C$65,$A12,'案件台帳'!$E$6:$E$65,"",'案件台帳'!$F$6:$F$65,"&gt;="&amp;I$4)&gt;0,"■",""))</f>
        <v/>
      </c>
      <c r="J12" s="29">
        <f>IF($A12="","",IF(COUNTIFS('案件台帳'!$C$6:$C$65,$A12,'案件台帳'!$E$6:$E$65,"&lt;="&amp;J$4,'案件台帳'!$F$6:$F$65,"&gt;="&amp;J$4)+COUNTIFS('案件台帳'!$C$6:$C$65,$A12,'案件台帳'!$E$6:$E$65,"",'案件台帳'!$F$6:$F$65,"&gt;="&amp;J$4)&gt;0,"■",""))</f>
        <v/>
      </c>
      <c r="K12" s="29">
        <f>IF($A12="","",IF(COUNTIFS('案件台帳'!$C$6:$C$65,$A12,'案件台帳'!$E$6:$E$65,"&lt;="&amp;K$4,'案件台帳'!$F$6:$F$65,"&gt;="&amp;K$4)+COUNTIFS('案件台帳'!$C$6:$C$65,$A12,'案件台帳'!$E$6:$E$65,"",'案件台帳'!$F$6:$F$65,"&gt;="&amp;K$4)&gt;0,"■",""))</f>
        <v/>
      </c>
      <c r="L12" s="29">
        <f>IF($A12="","",IF(COUNTIFS('案件台帳'!$C$6:$C$65,$A12,'案件台帳'!$E$6:$E$65,"&lt;="&amp;L$4,'案件台帳'!$F$6:$F$65,"&gt;="&amp;L$4)+COUNTIFS('案件台帳'!$C$6:$C$65,$A12,'案件台帳'!$E$6:$E$65,"",'案件台帳'!$F$6:$F$65,"&gt;="&amp;L$4)&gt;0,"■",""))</f>
        <v/>
      </c>
      <c r="M12" s="29">
        <f>IF($A12="","",IF(COUNTIFS('案件台帳'!$C$6:$C$65,$A12,'案件台帳'!$E$6:$E$65,"&lt;="&amp;M$4,'案件台帳'!$F$6:$F$65,"&gt;="&amp;M$4)+COUNTIFS('案件台帳'!$C$6:$C$65,$A12,'案件台帳'!$E$6:$E$65,"",'案件台帳'!$F$6:$F$65,"&gt;="&amp;M$4)&gt;0,"■",""))</f>
        <v/>
      </c>
      <c r="N12" s="29">
        <f>IF($A12="","",IF(COUNTIFS('案件台帳'!$C$6:$C$65,$A12,'案件台帳'!$E$6:$E$65,"&lt;="&amp;N$4,'案件台帳'!$F$6:$F$65,"&gt;="&amp;N$4)+COUNTIFS('案件台帳'!$C$6:$C$65,$A12,'案件台帳'!$E$6:$E$65,"",'案件台帳'!$F$6:$F$65,"&gt;="&amp;N$4)&gt;0,"■",""))</f>
        <v/>
      </c>
      <c r="O12" s="29">
        <f>IF($A12="","",IF(COUNTIFS('案件台帳'!$C$6:$C$65,$A12,'案件台帳'!$E$6:$E$65,"&lt;="&amp;O$4,'案件台帳'!$F$6:$F$65,"&gt;="&amp;O$4)+COUNTIFS('案件台帳'!$C$6:$C$65,$A12,'案件台帳'!$E$6:$E$65,"",'案件台帳'!$F$6:$F$65,"&gt;="&amp;O$4)&gt;0,"■",""))</f>
        <v/>
      </c>
      <c r="P12" s="29">
        <f>IF($A12="","",IF(COUNTIFS('案件台帳'!$C$6:$C$65,$A12,'案件台帳'!$E$6:$E$65,"&lt;="&amp;P$4,'案件台帳'!$F$6:$F$65,"&gt;="&amp;P$4)+COUNTIFS('案件台帳'!$C$6:$C$65,$A12,'案件台帳'!$E$6:$E$65,"",'案件台帳'!$F$6:$F$65,"&gt;="&amp;P$4)&gt;0,"■",""))</f>
        <v/>
      </c>
      <c r="Q12" s="29">
        <f>IF($A12="","",IF(COUNTIFS('案件台帳'!$C$6:$C$65,$A12,'案件台帳'!$E$6:$E$65,"&lt;="&amp;Q$4,'案件台帳'!$F$6:$F$65,"&gt;="&amp;Q$4)+COUNTIFS('案件台帳'!$C$6:$C$65,$A12,'案件台帳'!$E$6:$E$65,"",'案件台帳'!$F$6:$F$65,"&gt;="&amp;Q$4)&gt;0,"■",""))</f>
        <v/>
      </c>
      <c r="R12" s="29">
        <f>IF($A12="","",IF(COUNTIFS('案件台帳'!$C$6:$C$65,$A12,'案件台帳'!$E$6:$E$65,"&lt;="&amp;R$4,'案件台帳'!$F$6:$F$65,"&gt;="&amp;R$4)+COUNTIFS('案件台帳'!$C$6:$C$65,$A12,'案件台帳'!$E$6:$E$65,"",'案件台帳'!$F$6:$F$65,"&gt;="&amp;R$4)&gt;0,"■",""))</f>
        <v/>
      </c>
      <c r="S12" s="29">
        <f>IF($A12="","",IF(COUNTIFS('案件台帳'!$C$6:$C$65,$A12,'案件台帳'!$E$6:$E$65,"&lt;="&amp;S$4,'案件台帳'!$F$6:$F$65,"&gt;="&amp;S$4)+COUNTIFS('案件台帳'!$C$6:$C$65,$A12,'案件台帳'!$E$6:$E$65,"",'案件台帳'!$F$6:$F$65,"&gt;="&amp;S$4)&gt;0,"■",""))</f>
        <v/>
      </c>
      <c r="T12" s="29">
        <f>IF($A12="","",IF(COUNTIFS('案件台帳'!$C$6:$C$65,$A12,'案件台帳'!$E$6:$E$65,"&lt;="&amp;T$4,'案件台帳'!$F$6:$F$65,"&gt;="&amp;T$4)+COUNTIFS('案件台帳'!$C$6:$C$65,$A12,'案件台帳'!$E$6:$E$65,"",'案件台帳'!$F$6:$F$65,"&gt;="&amp;T$4)&gt;0,"■",""))</f>
        <v/>
      </c>
      <c r="U12" s="29">
        <f>IF($A12="","",IF(COUNTIFS('案件台帳'!$C$6:$C$65,$A12,'案件台帳'!$E$6:$E$65,"&lt;="&amp;U$4,'案件台帳'!$F$6:$F$65,"&gt;="&amp;U$4)+COUNTIFS('案件台帳'!$C$6:$C$65,$A12,'案件台帳'!$E$6:$E$65,"",'案件台帳'!$F$6:$F$65,"&gt;="&amp;U$4)&gt;0,"■",""))</f>
        <v/>
      </c>
      <c r="V12" s="29">
        <f>IF($A12="","",IF(COUNTIFS('案件台帳'!$C$6:$C$65,$A12,'案件台帳'!$E$6:$E$65,"&lt;="&amp;V$4,'案件台帳'!$F$6:$F$65,"&gt;="&amp;V$4)+COUNTIFS('案件台帳'!$C$6:$C$65,$A12,'案件台帳'!$E$6:$E$65,"",'案件台帳'!$F$6:$F$65,"&gt;="&amp;V$4)&gt;0,"■",""))</f>
        <v/>
      </c>
      <c r="W12" s="29">
        <f>IF($A12="","",IF(COUNTIFS('案件台帳'!$C$6:$C$65,$A12,'案件台帳'!$E$6:$E$65,"&lt;="&amp;W$4,'案件台帳'!$F$6:$F$65,"&gt;="&amp;W$4)+COUNTIFS('案件台帳'!$C$6:$C$65,$A12,'案件台帳'!$E$6:$E$65,"",'案件台帳'!$F$6:$F$65,"&gt;="&amp;W$4)&gt;0,"■",""))</f>
        <v/>
      </c>
      <c r="X12" s="29">
        <f>IF($A12="","",IF(COUNTIFS('案件台帳'!$C$6:$C$65,$A12,'案件台帳'!$E$6:$E$65,"&lt;="&amp;X$4,'案件台帳'!$F$6:$F$65,"&gt;="&amp;X$4)+COUNTIFS('案件台帳'!$C$6:$C$65,$A12,'案件台帳'!$E$6:$E$65,"",'案件台帳'!$F$6:$F$65,"&gt;="&amp;X$4)&gt;0,"■",""))</f>
        <v/>
      </c>
      <c r="Y12" s="29">
        <f>IF($A12="","",IF(COUNTIFS('案件台帳'!$C$6:$C$65,$A12,'案件台帳'!$E$6:$E$65,"&lt;="&amp;Y$4,'案件台帳'!$F$6:$F$65,"&gt;="&amp;Y$4)+COUNTIFS('案件台帳'!$C$6:$C$65,$A12,'案件台帳'!$E$6:$E$65,"",'案件台帳'!$F$6:$F$65,"&gt;="&amp;Y$4)&gt;0,"■",""))</f>
        <v/>
      </c>
      <c r="Z12" s="29">
        <f>IF($A12="","",IF(COUNTIFS('案件台帳'!$C$6:$C$65,$A12,'案件台帳'!$E$6:$E$65,"&lt;="&amp;Z$4,'案件台帳'!$F$6:$F$65,"&gt;="&amp;Z$4)+COUNTIFS('案件台帳'!$C$6:$C$65,$A12,'案件台帳'!$E$6:$E$65,"",'案件台帳'!$F$6:$F$65,"&gt;="&amp;Z$4)&gt;0,"■",""))</f>
        <v/>
      </c>
      <c r="AA12" s="29">
        <f>IF($A12="","",IF(COUNTIFS('案件台帳'!$C$6:$C$65,$A12,'案件台帳'!$E$6:$E$65,"&lt;="&amp;AA$4,'案件台帳'!$F$6:$F$65,"&gt;="&amp;AA$4)+COUNTIFS('案件台帳'!$C$6:$C$65,$A12,'案件台帳'!$E$6:$E$65,"",'案件台帳'!$F$6:$F$65,"&gt;="&amp;AA$4)&gt;0,"■",""))</f>
        <v/>
      </c>
      <c r="AB12" s="29">
        <f>IF($A12="","",IF(COUNTIFS('案件台帳'!$C$6:$C$65,$A12,'案件台帳'!$E$6:$E$65,"&lt;="&amp;AB$4,'案件台帳'!$F$6:$F$65,"&gt;="&amp;AB$4)+COUNTIFS('案件台帳'!$C$6:$C$65,$A12,'案件台帳'!$E$6:$E$65,"",'案件台帳'!$F$6:$F$65,"&gt;="&amp;AB$4)&gt;0,"■",""))</f>
        <v/>
      </c>
      <c r="AC12" s="29">
        <f>IF($A12="","",IF(COUNTIFS('案件台帳'!$C$6:$C$65,$A12,'案件台帳'!$E$6:$E$65,"&lt;="&amp;AC$4,'案件台帳'!$F$6:$F$65,"&gt;="&amp;AC$4)+COUNTIFS('案件台帳'!$C$6:$C$65,$A12,'案件台帳'!$E$6:$E$65,"",'案件台帳'!$F$6:$F$65,"&gt;="&amp;AC$4)&gt;0,"■",""))</f>
        <v/>
      </c>
      <c r="AD12" s="29">
        <f>IF($A12="","",IF(COUNTIFS('案件台帳'!$C$6:$C$65,$A12,'案件台帳'!$E$6:$E$65,"&lt;="&amp;AD$4,'案件台帳'!$F$6:$F$65,"&gt;="&amp;AD$4)+COUNTIFS('案件台帳'!$C$6:$C$65,$A12,'案件台帳'!$E$6:$E$65,"",'案件台帳'!$F$6:$F$65,"&gt;="&amp;AD$4)&gt;0,"■",""))</f>
        <v/>
      </c>
      <c r="AE12" s="29">
        <f>IF($A12="","",IF(COUNTIFS('案件台帳'!$C$6:$C$65,$A12,'案件台帳'!$E$6:$E$65,"&lt;="&amp;AE$4,'案件台帳'!$F$6:$F$65,"&gt;="&amp;AE$4)+COUNTIFS('案件台帳'!$C$6:$C$65,$A12,'案件台帳'!$E$6:$E$65,"",'案件台帳'!$F$6:$F$65,"&gt;="&amp;AE$4)&gt;0,"■",""))</f>
        <v/>
      </c>
      <c r="AF12" s="29">
        <f>IF($A12="","",IF(COUNTIFS('案件台帳'!$C$6:$C$65,$A12,'案件台帳'!$E$6:$E$65,"&lt;="&amp;AF$4,'案件台帳'!$F$6:$F$65,"&gt;="&amp;AF$4)+COUNTIFS('案件台帳'!$C$6:$C$65,$A12,'案件台帳'!$E$6:$E$65,"",'案件台帳'!$F$6:$F$65,"&gt;="&amp;AF$4)&gt;0,"■",""))</f>
        <v/>
      </c>
      <c r="AG12" s="29">
        <f>IF($A12="","",IF(COUNTIFS('案件台帳'!$C$6:$C$65,$A12,'案件台帳'!$E$6:$E$65,"&lt;="&amp;AG$4,'案件台帳'!$F$6:$F$65,"&gt;="&amp;AG$4)+COUNTIFS('案件台帳'!$C$6:$C$65,$A12,'案件台帳'!$E$6:$E$65,"",'案件台帳'!$F$6:$F$65,"&gt;="&amp;AG$4)&gt;0,"■",""))</f>
        <v/>
      </c>
      <c r="AH12" s="29">
        <f>IF($A12="","",IF(COUNTIFS('案件台帳'!$C$6:$C$65,$A12,'案件台帳'!$E$6:$E$65,"&lt;="&amp;AH$4,'案件台帳'!$F$6:$F$65,"&gt;="&amp;AH$4)+COUNTIFS('案件台帳'!$C$6:$C$65,$A12,'案件台帳'!$E$6:$E$65,"",'案件台帳'!$F$6:$F$65,"&gt;="&amp;AH$4)&gt;0,"■",""))</f>
        <v/>
      </c>
      <c r="AI12" s="29">
        <f>IF($A12="","",IF(COUNTIFS('案件台帳'!$C$6:$C$65,$A12,'案件台帳'!$E$6:$E$65,"&lt;="&amp;AI$4,'案件台帳'!$F$6:$F$65,"&gt;="&amp;AI$4)+COUNTIFS('案件台帳'!$C$6:$C$65,$A12,'案件台帳'!$E$6:$E$65,"",'案件台帳'!$F$6:$F$65,"&gt;="&amp;AI$4)&gt;0,"■",""))</f>
        <v/>
      </c>
      <c r="AJ12" s="29">
        <f>IF($A12="","",IF(COUNTIFS('案件台帳'!$C$6:$C$65,$A12,'案件台帳'!$E$6:$E$65,"&lt;="&amp;AJ$4,'案件台帳'!$F$6:$F$65,"&gt;="&amp;AJ$4)+COUNTIFS('案件台帳'!$C$6:$C$65,$A12,'案件台帳'!$E$6:$E$65,"",'案件台帳'!$F$6:$F$65,"&gt;="&amp;AJ$4)&gt;0,"■",""))</f>
        <v/>
      </c>
      <c r="AK12" s="29">
        <f>IF($A12="","",IF(COUNTIFS('案件台帳'!$C$6:$C$65,$A12,'案件台帳'!$E$6:$E$65,"&lt;="&amp;AK$4,'案件台帳'!$F$6:$F$65,"&gt;="&amp;AK$4)+COUNTIFS('案件台帳'!$C$6:$C$65,$A12,'案件台帳'!$E$6:$E$65,"",'案件台帳'!$F$6:$F$65,"&gt;="&amp;AK$4)&gt;0,"■",""))</f>
        <v/>
      </c>
      <c r="AL12" s="29">
        <f>IF($A12="","",IF(COUNTIFS('案件台帳'!$C$6:$C$65,$A12,'案件台帳'!$E$6:$E$65,"&lt;="&amp;AL$4,'案件台帳'!$F$6:$F$65,"&gt;="&amp;AL$4)+COUNTIFS('案件台帳'!$C$6:$C$65,$A12,'案件台帳'!$E$6:$E$65,"",'案件台帳'!$F$6:$F$65,"&gt;="&amp;AL$4)&gt;0,"■",""))</f>
        <v/>
      </c>
      <c r="AM12" s="29">
        <f>IF($A12="","",IF(COUNTIFS('案件台帳'!$C$6:$C$65,$A12,'案件台帳'!$E$6:$E$65,"&lt;="&amp;AM$4,'案件台帳'!$F$6:$F$65,"&gt;="&amp;AM$4)+COUNTIFS('案件台帳'!$C$6:$C$65,$A12,'案件台帳'!$E$6:$E$65,"",'案件台帳'!$F$6:$F$65,"&gt;="&amp;AM$4)&gt;0,"■",""))</f>
        <v/>
      </c>
      <c r="AN12" s="29">
        <f>IF($A12="","",IF(COUNTIFS('案件台帳'!$C$6:$C$65,$A12,'案件台帳'!$E$6:$E$65,"&lt;="&amp;AN$4,'案件台帳'!$F$6:$F$65,"&gt;="&amp;AN$4)+COUNTIFS('案件台帳'!$C$6:$C$65,$A12,'案件台帳'!$E$6:$E$65,"",'案件台帳'!$F$6:$F$65,"&gt;="&amp;AN$4)&gt;0,"■",""))</f>
        <v/>
      </c>
      <c r="AO12" s="29">
        <f>IF($A12="","",IF(COUNTIFS('案件台帳'!$C$6:$C$65,$A12,'案件台帳'!$E$6:$E$65,"&lt;="&amp;AO$4,'案件台帳'!$F$6:$F$65,"&gt;="&amp;AO$4)+COUNTIFS('案件台帳'!$C$6:$C$65,$A12,'案件台帳'!$E$6:$E$65,"",'案件台帳'!$F$6:$F$65,"&gt;="&amp;AO$4)&gt;0,"■",""))</f>
        <v/>
      </c>
      <c r="AP12" s="29">
        <f>IF($A12="","",IF(COUNTIFS('案件台帳'!$C$6:$C$65,$A12,'案件台帳'!$E$6:$E$65,"&lt;="&amp;AP$4,'案件台帳'!$F$6:$F$65,"&gt;="&amp;AP$4)+COUNTIFS('案件台帳'!$C$6:$C$65,$A12,'案件台帳'!$E$6:$E$65,"",'案件台帳'!$F$6:$F$65,"&gt;="&amp;AP$4)&gt;0,"■",""))</f>
        <v/>
      </c>
      <c r="AQ12" s="29">
        <f>IF($A12="","",IF(COUNTIFS('案件台帳'!$C$6:$C$65,$A12,'案件台帳'!$E$6:$E$65,"&lt;="&amp;AQ$4,'案件台帳'!$F$6:$F$65,"&gt;="&amp;AQ$4)+COUNTIFS('案件台帳'!$C$6:$C$65,$A12,'案件台帳'!$E$6:$E$65,"",'案件台帳'!$F$6:$F$65,"&gt;="&amp;AQ$4)&gt;0,"■",""))</f>
        <v/>
      </c>
      <c r="AR12" s="29">
        <f>IF($A12="","",IF(COUNTIFS('案件台帳'!$C$6:$C$65,$A12,'案件台帳'!$E$6:$E$65,"&lt;="&amp;AR$4,'案件台帳'!$F$6:$F$65,"&gt;="&amp;AR$4)+COUNTIFS('案件台帳'!$C$6:$C$65,$A12,'案件台帳'!$E$6:$E$65,"",'案件台帳'!$F$6:$F$65,"&gt;="&amp;AR$4)&gt;0,"■",""))</f>
        <v/>
      </c>
      <c r="AS12" s="29">
        <f>IF($A12="","",IF(COUNTIFS('案件台帳'!$C$6:$C$65,$A12,'案件台帳'!$E$6:$E$65,"&lt;="&amp;AS$4,'案件台帳'!$F$6:$F$65,"&gt;="&amp;AS$4)+COUNTIFS('案件台帳'!$C$6:$C$65,$A12,'案件台帳'!$E$6:$E$65,"",'案件台帳'!$F$6:$F$65,"&gt;="&amp;AS$4)&gt;0,"■",""))</f>
        <v/>
      </c>
      <c r="AT12" s="29">
        <f>IF($A12="","",IF(COUNTIFS('案件台帳'!$C$6:$C$65,$A12,'案件台帳'!$E$6:$E$65,"&lt;="&amp;AT$4,'案件台帳'!$F$6:$F$65,"&gt;="&amp;AT$4)+COUNTIFS('案件台帳'!$C$6:$C$65,$A12,'案件台帳'!$E$6:$E$65,"",'案件台帳'!$F$6:$F$65,"&gt;="&amp;AT$4)&gt;0,"■",""))</f>
        <v/>
      </c>
      <c r="AU12" s="29">
        <f>IF($A12="","",IF(COUNTIFS('案件台帳'!$C$6:$C$65,$A12,'案件台帳'!$E$6:$E$65,"&lt;="&amp;AU$4,'案件台帳'!$F$6:$F$65,"&gt;="&amp;AU$4)+COUNTIFS('案件台帳'!$C$6:$C$65,$A12,'案件台帳'!$E$6:$E$65,"",'案件台帳'!$F$6:$F$65,"&gt;="&amp;AU$4)&gt;0,"■",""))</f>
        <v/>
      </c>
      <c r="AV12" s="29">
        <f>IF($A12="","",IF(COUNTIFS('案件台帳'!$C$6:$C$65,$A12,'案件台帳'!$E$6:$E$65,"&lt;="&amp;AV$4,'案件台帳'!$F$6:$F$65,"&gt;="&amp;AV$4)+COUNTIFS('案件台帳'!$C$6:$C$65,$A12,'案件台帳'!$E$6:$E$65,"",'案件台帳'!$F$6:$F$65,"&gt;="&amp;AV$4)&gt;0,"■",""))</f>
        <v/>
      </c>
      <c r="AW12" s="29">
        <f>IF($A12="","",IF(COUNTIFS('案件台帳'!$C$6:$C$65,$A12,'案件台帳'!$E$6:$E$65,"&lt;="&amp;AW$4,'案件台帳'!$F$6:$F$65,"&gt;="&amp;AW$4)+COUNTIFS('案件台帳'!$C$6:$C$65,$A12,'案件台帳'!$E$6:$E$65,"",'案件台帳'!$F$6:$F$65,"&gt;="&amp;AW$4)&gt;0,"■",""))</f>
        <v/>
      </c>
      <c r="AX12" s="29">
        <f>IF($A12="","",IF(COUNTIFS('案件台帳'!$C$6:$C$65,$A12,'案件台帳'!$E$6:$E$65,"&lt;="&amp;AX$4,'案件台帳'!$F$6:$F$65,"&gt;="&amp;AX$4)+COUNTIFS('案件台帳'!$C$6:$C$65,$A12,'案件台帳'!$E$6:$E$65,"",'案件台帳'!$F$6:$F$65,"&gt;="&amp;AX$4)&gt;0,"■",""))</f>
        <v/>
      </c>
      <c r="AY12" s="29">
        <f>IF($A12="","",IF(COUNTIFS('案件台帳'!$C$6:$C$65,$A12,'案件台帳'!$E$6:$E$65,"&lt;="&amp;AY$4,'案件台帳'!$F$6:$F$65,"&gt;="&amp;AY$4)+COUNTIFS('案件台帳'!$C$6:$C$65,$A12,'案件台帳'!$E$6:$E$65,"",'案件台帳'!$F$6:$F$65,"&gt;="&amp;AY$4)&gt;0,"■",""))</f>
        <v/>
      </c>
      <c r="AZ12" s="29">
        <f>IF($A12="","",IF(COUNTIFS('案件台帳'!$C$6:$C$65,$A12,'案件台帳'!$E$6:$E$65,"&lt;="&amp;AZ$4,'案件台帳'!$F$6:$F$65,"&gt;="&amp;AZ$4)+COUNTIFS('案件台帳'!$C$6:$C$65,$A12,'案件台帳'!$E$6:$E$65,"",'案件台帳'!$F$6:$F$65,"&gt;="&amp;AZ$4)&gt;0,"■",""))</f>
        <v/>
      </c>
      <c r="BA12" s="29">
        <f>IF($A12="","",IF(COUNTIFS('案件台帳'!$C$6:$C$65,$A12,'案件台帳'!$E$6:$E$65,"&lt;="&amp;BA$4,'案件台帳'!$F$6:$F$65,"&gt;="&amp;BA$4)+COUNTIFS('案件台帳'!$C$6:$C$65,$A12,'案件台帳'!$E$6:$E$65,"",'案件台帳'!$F$6:$F$65,"&gt;="&amp;BA$4)&gt;0,"■",""))</f>
        <v/>
      </c>
      <c r="BB12" s="29">
        <f>IF($A12="","",IF(COUNTIFS('案件台帳'!$C$6:$C$65,$A12,'案件台帳'!$E$6:$E$65,"&lt;="&amp;BB$4,'案件台帳'!$F$6:$F$65,"&gt;="&amp;BB$4)+COUNTIFS('案件台帳'!$C$6:$C$65,$A12,'案件台帳'!$E$6:$E$65,"",'案件台帳'!$F$6:$F$65,"&gt;="&amp;BB$4)&gt;0,"■",""))</f>
        <v/>
      </c>
      <c r="BC12" s="29">
        <f>IF($A12="","",IF(COUNTIFS('案件台帳'!$C$6:$C$65,$A12,'案件台帳'!$E$6:$E$65,"&lt;="&amp;BC$4,'案件台帳'!$F$6:$F$65,"&gt;="&amp;BC$4)+COUNTIFS('案件台帳'!$C$6:$C$65,$A12,'案件台帳'!$E$6:$E$65,"",'案件台帳'!$F$6:$F$65,"&gt;="&amp;BC$4)&gt;0,"■",""))</f>
        <v/>
      </c>
      <c r="BD12" s="29">
        <f>IF($A12="","",IF(COUNTIFS('案件台帳'!$C$6:$C$65,$A12,'案件台帳'!$E$6:$E$65,"&lt;="&amp;BD$4,'案件台帳'!$F$6:$F$65,"&gt;="&amp;BD$4)+COUNTIFS('案件台帳'!$C$6:$C$65,$A12,'案件台帳'!$E$6:$E$65,"",'案件台帳'!$F$6:$F$65,"&gt;="&amp;BD$4)&gt;0,"■",""))</f>
        <v/>
      </c>
      <c r="BE12" s="29">
        <f>IF($A12="","",IF(COUNTIFS('案件台帳'!$C$6:$C$65,$A12,'案件台帳'!$E$6:$E$65,"&lt;="&amp;BE$4,'案件台帳'!$F$6:$F$65,"&gt;="&amp;BE$4)+COUNTIFS('案件台帳'!$C$6:$C$65,$A12,'案件台帳'!$E$6:$E$65,"",'案件台帳'!$F$6:$F$65,"&gt;="&amp;BE$4)&gt;0,"■",""))</f>
        <v/>
      </c>
      <c r="BF12" s="29">
        <f>IF($A12="","",IF(COUNTIFS('案件台帳'!$C$6:$C$65,$A12,'案件台帳'!$E$6:$E$65,"&lt;="&amp;BF$4,'案件台帳'!$F$6:$F$65,"&gt;="&amp;BF$4)+COUNTIFS('案件台帳'!$C$6:$C$65,$A12,'案件台帳'!$E$6:$E$65,"",'案件台帳'!$F$6:$F$65,"&gt;="&amp;BF$4)&gt;0,"■",""))</f>
        <v/>
      </c>
      <c r="BG12" s="29">
        <f>IF($A12="","",IF(COUNTIFS('案件台帳'!$C$6:$C$65,$A12,'案件台帳'!$E$6:$E$65,"&lt;="&amp;BG$4,'案件台帳'!$F$6:$F$65,"&gt;="&amp;BG$4)+COUNTIFS('案件台帳'!$C$6:$C$65,$A12,'案件台帳'!$E$6:$E$65,"",'案件台帳'!$F$6:$F$65,"&gt;="&amp;BG$4)&gt;0,"■",""))</f>
        <v/>
      </c>
      <c r="BH12" s="29">
        <f>IF($A12="","",IF(COUNTIFS('案件台帳'!$C$6:$C$65,$A12,'案件台帳'!$E$6:$E$65,"&lt;="&amp;BH$4,'案件台帳'!$F$6:$F$65,"&gt;="&amp;BH$4)+COUNTIFS('案件台帳'!$C$6:$C$65,$A12,'案件台帳'!$E$6:$E$65,"",'案件台帳'!$F$6:$F$65,"&gt;="&amp;BH$4)&gt;0,"■",""))</f>
        <v/>
      </c>
      <c r="BI12" s="29">
        <f>IF($A12="","",IF(COUNTIFS('案件台帳'!$C$6:$C$65,$A12,'案件台帳'!$E$6:$E$65,"&lt;="&amp;BI$4,'案件台帳'!$F$6:$F$65,"&gt;="&amp;BI$4)+COUNTIFS('案件台帳'!$C$6:$C$65,$A12,'案件台帳'!$E$6:$E$65,"",'案件台帳'!$F$6:$F$65,"&gt;="&amp;BI$4)&gt;0,"■",""))</f>
        <v/>
      </c>
      <c r="BJ12" s="29">
        <f>IF($A12="","",IF(COUNTIFS('案件台帳'!$C$6:$C$65,$A12,'案件台帳'!$E$6:$E$65,"&lt;="&amp;BJ$4,'案件台帳'!$F$6:$F$65,"&gt;="&amp;BJ$4)+COUNTIFS('案件台帳'!$C$6:$C$65,$A12,'案件台帳'!$E$6:$E$65,"",'案件台帳'!$F$6:$F$65,"&gt;="&amp;BJ$4)&gt;0,"■",""))</f>
        <v/>
      </c>
      <c r="BK12" s="29">
        <f>IF($A12="","",IF(COUNTIFS('案件台帳'!$C$6:$C$65,$A12,'案件台帳'!$E$6:$E$65,"&lt;="&amp;BK$4,'案件台帳'!$F$6:$F$65,"&gt;="&amp;BK$4)+COUNTIFS('案件台帳'!$C$6:$C$65,$A12,'案件台帳'!$E$6:$E$65,"",'案件台帳'!$F$6:$F$65,"&gt;="&amp;BK$4)&gt;0,"■",""))</f>
        <v/>
      </c>
      <c r="BL12" s="29">
        <f>IF($A12="","",IF(COUNTIFS('案件台帳'!$C$6:$C$65,$A12,'案件台帳'!$E$6:$E$65,"&lt;="&amp;BL$4,'案件台帳'!$F$6:$F$65,"&gt;="&amp;BL$4)+COUNTIFS('案件台帳'!$C$6:$C$65,$A12,'案件台帳'!$E$6:$E$65,"",'案件台帳'!$F$6:$F$65,"&gt;="&amp;BL$4)&gt;0,"■",""))</f>
        <v/>
      </c>
    </row>
    <row r="13">
      <c r="A13" s="24">
        <f>IF(職人ダッシュボード!$A$12="","",職人ダッシュボード!$A$12)</f>
        <v/>
      </c>
      <c r="B13" s="29">
        <f>IF($A13="","",IF(COUNTIFS('案件台帳'!$C$6:$C$65,$A13,'案件台帳'!$E$6:$E$65,"&lt;="&amp;B$4,'案件台帳'!$F$6:$F$65,"&gt;="&amp;B$4)+COUNTIFS('案件台帳'!$C$6:$C$65,$A13,'案件台帳'!$E$6:$E$65,"",'案件台帳'!$F$6:$F$65,"&gt;="&amp;B$4)&gt;0,"■",""))</f>
        <v/>
      </c>
      <c r="C13" s="29">
        <f>IF($A13="","",IF(COUNTIFS('案件台帳'!$C$6:$C$65,$A13,'案件台帳'!$E$6:$E$65,"&lt;="&amp;C$4,'案件台帳'!$F$6:$F$65,"&gt;="&amp;C$4)+COUNTIFS('案件台帳'!$C$6:$C$65,$A13,'案件台帳'!$E$6:$E$65,"",'案件台帳'!$F$6:$F$65,"&gt;="&amp;C$4)&gt;0,"■",""))</f>
        <v/>
      </c>
      <c r="D13" s="29">
        <f>IF($A13="","",IF(COUNTIFS('案件台帳'!$C$6:$C$65,$A13,'案件台帳'!$E$6:$E$65,"&lt;="&amp;D$4,'案件台帳'!$F$6:$F$65,"&gt;="&amp;D$4)+COUNTIFS('案件台帳'!$C$6:$C$65,$A13,'案件台帳'!$E$6:$E$65,"",'案件台帳'!$F$6:$F$65,"&gt;="&amp;D$4)&gt;0,"■",""))</f>
        <v/>
      </c>
      <c r="E13" s="29">
        <f>IF($A13="","",IF(COUNTIFS('案件台帳'!$C$6:$C$65,$A13,'案件台帳'!$E$6:$E$65,"&lt;="&amp;E$4,'案件台帳'!$F$6:$F$65,"&gt;="&amp;E$4)+COUNTIFS('案件台帳'!$C$6:$C$65,$A13,'案件台帳'!$E$6:$E$65,"",'案件台帳'!$F$6:$F$65,"&gt;="&amp;E$4)&gt;0,"■",""))</f>
        <v/>
      </c>
      <c r="F13" s="29">
        <f>IF($A13="","",IF(COUNTIFS('案件台帳'!$C$6:$C$65,$A13,'案件台帳'!$E$6:$E$65,"&lt;="&amp;F$4,'案件台帳'!$F$6:$F$65,"&gt;="&amp;F$4)+COUNTIFS('案件台帳'!$C$6:$C$65,$A13,'案件台帳'!$E$6:$E$65,"",'案件台帳'!$F$6:$F$65,"&gt;="&amp;F$4)&gt;0,"■",""))</f>
        <v/>
      </c>
      <c r="G13" s="29">
        <f>IF($A13="","",IF(COUNTIFS('案件台帳'!$C$6:$C$65,$A13,'案件台帳'!$E$6:$E$65,"&lt;="&amp;G$4,'案件台帳'!$F$6:$F$65,"&gt;="&amp;G$4)+COUNTIFS('案件台帳'!$C$6:$C$65,$A13,'案件台帳'!$E$6:$E$65,"",'案件台帳'!$F$6:$F$65,"&gt;="&amp;G$4)&gt;0,"■",""))</f>
        <v/>
      </c>
      <c r="H13" s="29">
        <f>IF($A13="","",IF(COUNTIFS('案件台帳'!$C$6:$C$65,$A13,'案件台帳'!$E$6:$E$65,"&lt;="&amp;H$4,'案件台帳'!$F$6:$F$65,"&gt;="&amp;H$4)+COUNTIFS('案件台帳'!$C$6:$C$65,$A13,'案件台帳'!$E$6:$E$65,"",'案件台帳'!$F$6:$F$65,"&gt;="&amp;H$4)&gt;0,"■",""))</f>
        <v/>
      </c>
      <c r="I13" s="29">
        <f>IF($A13="","",IF(COUNTIFS('案件台帳'!$C$6:$C$65,$A13,'案件台帳'!$E$6:$E$65,"&lt;="&amp;I$4,'案件台帳'!$F$6:$F$65,"&gt;="&amp;I$4)+COUNTIFS('案件台帳'!$C$6:$C$65,$A13,'案件台帳'!$E$6:$E$65,"",'案件台帳'!$F$6:$F$65,"&gt;="&amp;I$4)&gt;0,"■",""))</f>
        <v/>
      </c>
      <c r="J13" s="29">
        <f>IF($A13="","",IF(COUNTIFS('案件台帳'!$C$6:$C$65,$A13,'案件台帳'!$E$6:$E$65,"&lt;="&amp;J$4,'案件台帳'!$F$6:$F$65,"&gt;="&amp;J$4)+COUNTIFS('案件台帳'!$C$6:$C$65,$A13,'案件台帳'!$E$6:$E$65,"",'案件台帳'!$F$6:$F$65,"&gt;="&amp;J$4)&gt;0,"■",""))</f>
        <v/>
      </c>
      <c r="K13" s="29">
        <f>IF($A13="","",IF(COUNTIFS('案件台帳'!$C$6:$C$65,$A13,'案件台帳'!$E$6:$E$65,"&lt;="&amp;K$4,'案件台帳'!$F$6:$F$65,"&gt;="&amp;K$4)+COUNTIFS('案件台帳'!$C$6:$C$65,$A13,'案件台帳'!$E$6:$E$65,"",'案件台帳'!$F$6:$F$65,"&gt;="&amp;K$4)&gt;0,"■",""))</f>
        <v/>
      </c>
      <c r="L13" s="29">
        <f>IF($A13="","",IF(COUNTIFS('案件台帳'!$C$6:$C$65,$A13,'案件台帳'!$E$6:$E$65,"&lt;="&amp;L$4,'案件台帳'!$F$6:$F$65,"&gt;="&amp;L$4)+COUNTIFS('案件台帳'!$C$6:$C$65,$A13,'案件台帳'!$E$6:$E$65,"",'案件台帳'!$F$6:$F$65,"&gt;="&amp;L$4)&gt;0,"■",""))</f>
        <v/>
      </c>
      <c r="M13" s="29">
        <f>IF($A13="","",IF(COUNTIFS('案件台帳'!$C$6:$C$65,$A13,'案件台帳'!$E$6:$E$65,"&lt;="&amp;M$4,'案件台帳'!$F$6:$F$65,"&gt;="&amp;M$4)+COUNTIFS('案件台帳'!$C$6:$C$65,$A13,'案件台帳'!$E$6:$E$65,"",'案件台帳'!$F$6:$F$65,"&gt;="&amp;M$4)&gt;0,"■",""))</f>
        <v/>
      </c>
      <c r="N13" s="29">
        <f>IF($A13="","",IF(COUNTIFS('案件台帳'!$C$6:$C$65,$A13,'案件台帳'!$E$6:$E$65,"&lt;="&amp;N$4,'案件台帳'!$F$6:$F$65,"&gt;="&amp;N$4)+COUNTIFS('案件台帳'!$C$6:$C$65,$A13,'案件台帳'!$E$6:$E$65,"",'案件台帳'!$F$6:$F$65,"&gt;="&amp;N$4)&gt;0,"■",""))</f>
        <v/>
      </c>
      <c r="O13" s="29">
        <f>IF($A13="","",IF(COUNTIFS('案件台帳'!$C$6:$C$65,$A13,'案件台帳'!$E$6:$E$65,"&lt;="&amp;O$4,'案件台帳'!$F$6:$F$65,"&gt;="&amp;O$4)+COUNTIFS('案件台帳'!$C$6:$C$65,$A13,'案件台帳'!$E$6:$E$65,"",'案件台帳'!$F$6:$F$65,"&gt;="&amp;O$4)&gt;0,"■",""))</f>
        <v/>
      </c>
      <c r="P13" s="29">
        <f>IF($A13="","",IF(COUNTIFS('案件台帳'!$C$6:$C$65,$A13,'案件台帳'!$E$6:$E$65,"&lt;="&amp;P$4,'案件台帳'!$F$6:$F$65,"&gt;="&amp;P$4)+COUNTIFS('案件台帳'!$C$6:$C$65,$A13,'案件台帳'!$E$6:$E$65,"",'案件台帳'!$F$6:$F$65,"&gt;="&amp;P$4)&gt;0,"■",""))</f>
        <v/>
      </c>
      <c r="Q13" s="29">
        <f>IF($A13="","",IF(COUNTIFS('案件台帳'!$C$6:$C$65,$A13,'案件台帳'!$E$6:$E$65,"&lt;="&amp;Q$4,'案件台帳'!$F$6:$F$65,"&gt;="&amp;Q$4)+COUNTIFS('案件台帳'!$C$6:$C$65,$A13,'案件台帳'!$E$6:$E$65,"",'案件台帳'!$F$6:$F$65,"&gt;="&amp;Q$4)&gt;0,"■",""))</f>
        <v/>
      </c>
      <c r="R13" s="29">
        <f>IF($A13="","",IF(COUNTIFS('案件台帳'!$C$6:$C$65,$A13,'案件台帳'!$E$6:$E$65,"&lt;="&amp;R$4,'案件台帳'!$F$6:$F$65,"&gt;="&amp;R$4)+COUNTIFS('案件台帳'!$C$6:$C$65,$A13,'案件台帳'!$E$6:$E$65,"",'案件台帳'!$F$6:$F$65,"&gt;="&amp;R$4)&gt;0,"■",""))</f>
        <v/>
      </c>
      <c r="S13" s="29">
        <f>IF($A13="","",IF(COUNTIFS('案件台帳'!$C$6:$C$65,$A13,'案件台帳'!$E$6:$E$65,"&lt;="&amp;S$4,'案件台帳'!$F$6:$F$65,"&gt;="&amp;S$4)+COUNTIFS('案件台帳'!$C$6:$C$65,$A13,'案件台帳'!$E$6:$E$65,"",'案件台帳'!$F$6:$F$65,"&gt;="&amp;S$4)&gt;0,"■",""))</f>
        <v/>
      </c>
      <c r="T13" s="29">
        <f>IF($A13="","",IF(COUNTIFS('案件台帳'!$C$6:$C$65,$A13,'案件台帳'!$E$6:$E$65,"&lt;="&amp;T$4,'案件台帳'!$F$6:$F$65,"&gt;="&amp;T$4)+COUNTIFS('案件台帳'!$C$6:$C$65,$A13,'案件台帳'!$E$6:$E$65,"",'案件台帳'!$F$6:$F$65,"&gt;="&amp;T$4)&gt;0,"■",""))</f>
        <v/>
      </c>
      <c r="U13" s="29">
        <f>IF($A13="","",IF(COUNTIFS('案件台帳'!$C$6:$C$65,$A13,'案件台帳'!$E$6:$E$65,"&lt;="&amp;U$4,'案件台帳'!$F$6:$F$65,"&gt;="&amp;U$4)+COUNTIFS('案件台帳'!$C$6:$C$65,$A13,'案件台帳'!$E$6:$E$65,"",'案件台帳'!$F$6:$F$65,"&gt;="&amp;U$4)&gt;0,"■",""))</f>
        <v/>
      </c>
      <c r="V13" s="29">
        <f>IF($A13="","",IF(COUNTIFS('案件台帳'!$C$6:$C$65,$A13,'案件台帳'!$E$6:$E$65,"&lt;="&amp;V$4,'案件台帳'!$F$6:$F$65,"&gt;="&amp;V$4)+COUNTIFS('案件台帳'!$C$6:$C$65,$A13,'案件台帳'!$E$6:$E$65,"",'案件台帳'!$F$6:$F$65,"&gt;="&amp;V$4)&gt;0,"■",""))</f>
        <v/>
      </c>
      <c r="W13" s="29">
        <f>IF($A13="","",IF(COUNTIFS('案件台帳'!$C$6:$C$65,$A13,'案件台帳'!$E$6:$E$65,"&lt;="&amp;W$4,'案件台帳'!$F$6:$F$65,"&gt;="&amp;W$4)+COUNTIFS('案件台帳'!$C$6:$C$65,$A13,'案件台帳'!$E$6:$E$65,"",'案件台帳'!$F$6:$F$65,"&gt;="&amp;W$4)&gt;0,"■",""))</f>
        <v/>
      </c>
      <c r="X13" s="29">
        <f>IF($A13="","",IF(COUNTIFS('案件台帳'!$C$6:$C$65,$A13,'案件台帳'!$E$6:$E$65,"&lt;="&amp;X$4,'案件台帳'!$F$6:$F$65,"&gt;="&amp;X$4)+COUNTIFS('案件台帳'!$C$6:$C$65,$A13,'案件台帳'!$E$6:$E$65,"",'案件台帳'!$F$6:$F$65,"&gt;="&amp;X$4)&gt;0,"■",""))</f>
        <v/>
      </c>
      <c r="Y13" s="29">
        <f>IF($A13="","",IF(COUNTIFS('案件台帳'!$C$6:$C$65,$A13,'案件台帳'!$E$6:$E$65,"&lt;="&amp;Y$4,'案件台帳'!$F$6:$F$65,"&gt;="&amp;Y$4)+COUNTIFS('案件台帳'!$C$6:$C$65,$A13,'案件台帳'!$E$6:$E$65,"",'案件台帳'!$F$6:$F$65,"&gt;="&amp;Y$4)&gt;0,"■",""))</f>
        <v/>
      </c>
      <c r="Z13" s="29">
        <f>IF($A13="","",IF(COUNTIFS('案件台帳'!$C$6:$C$65,$A13,'案件台帳'!$E$6:$E$65,"&lt;="&amp;Z$4,'案件台帳'!$F$6:$F$65,"&gt;="&amp;Z$4)+COUNTIFS('案件台帳'!$C$6:$C$65,$A13,'案件台帳'!$E$6:$E$65,"",'案件台帳'!$F$6:$F$65,"&gt;="&amp;Z$4)&gt;0,"■",""))</f>
        <v/>
      </c>
      <c r="AA13" s="29">
        <f>IF($A13="","",IF(COUNTIFS('案件台帳'!$C$6:$C$65,$A13,'案件台帳'!$E$6:$E$65,"&lt;="&amp;AA$4,'案件台帳'!$F$6:$F$65,"&gt;="&amp;AA$4)+COUNTIFS('案件台帳'!$C$6:$C$65,$A13,'案件台帳'!$E$6:$E$65,"",'案件台帳'!$F$6:$F$65,"&gt;="&amp;AA$4)&gt;0,"■",""))</f>
        <v/>
      </c>
      <c r="AB13" s="29">
        <f>IF($A13="","",IF(COUNTIFS('案件台帳'!$C$6:$C$65,$A13,'案件台帳'!$E$6:$E$65,"&lt;="&amp;AB$4,'案件台帳'!$F$6:$F$65,"&gt;="&amp;AB$4)+COUNTIFS('案件台帳'!$C$6:$C$65,$A13,'案件台帳'!$E$6:$E$65,"",'案件台帳'!$F$6:$F$65,"&gt;="&amp;AB$4)&gt;0,"■",""))</f>
        <v/>
      </c>
      <c r="AC13" s="29">
        <f>IF($A13="","",IF(COUNTIFS('案件台帳'!$C$6:$C$65,$A13,'案件台帳'!$E$6:$E$65,"&lt;="&amp;AC$4,'案件台帳'!$F$6:$F$65,"&gt;="&amp;AC$4)+COUNTIFS('案件台帳'!$C$6:$C$65,$A13,'案件台帳'!$E$6:$E$65,"",'案件台帳'!$F$6:$F$65,"&gt;="&amp;AC$4)&gt;0,"■",""))</f>
        <v/>
      </c>
      <c r="AD13" s="29">
        <f>IF($A13="","",IF(COUNTIFS('案件台帳'!$C$6:$C$65,$A13,'案件台帳'!$E$6:$E$65,"&lt;="&amp;AD$4,'案件台帳'!$F$6:$F$65,"&gt;="&amp;AD$4)+COUNTIFS('案件台帳'!$C$6:$C$65,$A13,'案件台帳'!$E$6:$E$65,"",'案件台帳'!$F$6:$F$65,"&gt;="&amp;AD$4)&gt;0,"■",""))</f>
        <v/>
      </c>
      <c r="AE13" s="29">
        <f>IF($A13="","",IF(COUNTIFS('案件台帳'!$C$6:$C$65,$A13,'案件台帳'!$E$6:$E$65,"&lt;="&amp;AE$4,'案件台帳'!$F$6:$F$65,"&gt;="&amp;AE$4)+COUNTIFS('案件台帳'!$C$6:$C$65,$A13,'案件台帳'!$E$6:$E$65,"",'案件台帳'!$F$6:$F$65,"&gt;="&amp;AE$4)&gt;0,"■",""))</f>
        <v/>
      </c>
      <c r="AF13" s="29">
        <f>IF($A13="","",IF(COUNTIFS('案件台帳'!$C$6:$C$65,$A13,'案件台帳'!$E$6:$E$65,"&lt;="&amp;AF$4,'案件台帳'!$F$6:$F$65,"&gt;="&amp;AF$4)+COUNTIFS('案件台帳'!$C$6:$C$65,$A13,'案件台帳'!$E$6:$E$65,"",'案件台帳'!$F$6:$F$65,"&gt;="&amp;AF$4)&gt;0,"■",""))</f>
        <v/>
      </c>
      <c r="AG13" s="29">
        <f>IF($A13="","",IF(COUNTIFS('案件台帳'!$C$6:$C$65,$A13,'案件台帳'!$E$6:$E$65,"&lt;="&amp;AG$4,'案件台帳'!$F$6:$F$65,"&gt;="&amp;AG$4)+COUNTIFS('案件台帳'!$C$6:$C$65,$A13,'案件台帳'!$E$6:$E$65,"",'案件台帳'!$F$6:$F$65,"&gt;="&amp;AG$4)&gt;0,"■",""))</f>
        <v/>
      </c>
      <c r="AH13" s="29">
        <f>IF($A13="","",IF(COUNTIFS('案件台帳'!$C$6:$C$65,$A13,'案件台帳'!$E$6:$E$65,"&lt;="&amp;AH$4,'案件台帳'!$F$6:$F$65,"&gt;="&amp;AH$4)+COUNTIFS('案件台帳'!$C$6:$C$65,$A13,'案件台帳'!$E$6:$E$65,"",'案件台帳'!$F$6:$F$65,"&gt;="&amp;AH$4)&gt;0,"■",""))</f>
        <v/>
      </c>
      <c r="AI13" s="29">
        <f>IF($A13="","",IF(COUNTIFS('案件台帳'!$C$6:$C$65,$A13,'案件台帳'!$E$6:$E$65,"&lt;="&amp;AI$4,'案件台帳'!$F$6:$F$65,"&gt;="&amp;AI$4)+COUNTIFS('案件台帳'!$C$6:$C$65,$A13,'案件台帳'!$E$6:$E$65,"",'案件台帳'!$F$6:$F$65,"&gt;="&amp;AI$4)&gt;0,"■",""))</f>
        <v/>
      </c>
      <c r="AJ13" s="29">
        <f>IF($A13="","",IF(COUNTIFS('案件台帳'!$C$6:$C$65,$A13,'案件台帳'!$E$6:$E$65,"&lt;="&amp;AJ$4,'案件台帳'!$F$6:$F$65,"&gt;="&amp;AJ$4)+COUNTIFS('案件台帳'!$C$6:$C$65,$A13,'案件台帳'!$E$6:$E$65,"",'案件台帳'!$F$6:$F$65,"&gt;="&amp;AJ$4)&gt;0,"■",""))</f>
        <v/>
      </c>
      <c r="AK13" s="29">
        <f>IF($A13="","",IF(COUNTIFS('案件台帳'!$C$6:$C$65,$A13,'案件台帳'!$E$6:$E$65,"&lt;="&amp;AK$4,'案件台帳'!$F$6:$F$65,"&gt;="&amp;AK$4)+COUNTIFS('案件台帳'!$C$6:$C$65,$A13,'案件台帳'!$E$6:$E$65,"",'案件台帳'!$F$6:$F$65,"&gt;="&amp;AK$4)&gt;0,"■",""))</f>
        <v/>
      </c>
      <c r="AL13" s="29">
        <f>IF($A13="","",IF(COUNTIFS('案件台帳'!$C$6:$C$65,$A13,'案件台帳'!$E$6:$E$65,"&lt;="&amp;AL$4,'案件台帳'!$F$6:$F$65,"&gt;="&amp;AL$4)+COUNTIFS('案件台帳'!$C$6:$C$65,$A13,'案件台帳'!$E$6:$E$65,"",'案件台帳'!$F$6:$F$65,"&gt;="&amp;AL$4)&gt;0,"■",""))</f>
        <v/>
      </c>
      <c r="AM13" s="29">
        <f>IF($A13="","",IF(COUNTIFS('案件台帳'!$C$6:$C$65,$A13,'案件台帳'!$E$6:$E$65,"&lt;="&amp;AM$4,'案件台帳'!$F$6:$F$65,"&gt;="&amp;AM$4)+COUNTIFS('案件台帳'!$C$6:$C$65,$A13,'案件台帳'!$E$6:$E$65,"",'案件台帳'!$F$6:$F$65,"&gt;="&amp;AM$4)&gt;0,"■",""))</f>
        <v/>
      </c>
      <c r="AN13" s="29">
        <f>IF($A13="","",IF(COUNTIFS('案件台帳'!$C$6:$C$65,$A13,'案件台帳'!$E$6:$E$65,"&lt;="&amp;AN$4,'案件台帳'!$F$6:$F$65,"&gt;="&amp;AN$4)+COUNTIFS('案件台帳'!$C$6:$C$65,$A13,'案件台帳'!$E$6:$E$65,"",'案件台帳'!$F$6:$F$65,"&gt;="&amp;AN$4)&gt;0,"■",""))</f>
        <v/>
      </c>
      <c r="AO13" s="29">
        <f>IF($A13="","",IF(COUNTIFS('案件台帳'!$C$6:$C$65,$A13,'案件台帳'!$E$6:$E$65,"&lt;="&amp;AO$4,'案件台帳'!$F$6:$F$65,"&gt;="&amp;AO$4)+COUNTIFS('案件台帳'!$C$6:$C$65,$A13,'案件台帳'!$E$6:$E$65,"",'案件台帳'!$F$6:$F$65,"&gt;="&amp;AO$4)&gt;0,"■",""))</f>
        <v/>
      </c>
      <c r="AP13" s="29">
        <f>IF($A13="","",IF(COUNTIFS('案件台帳'!$C$6:$C$65,$A13,'案件台帳'!$E$6:$E$65,"&lt;="&amp;AP$4,'案件台帳'!$F$6:$F$65,"&gt;="&amp;AP$4)+COUNTIFS('案件台帳'!$C$6:$C$65,$A13,'案件台帳'!$E$6:$E$65,"",'案件台帳'!$F$6:$F$65,"&gt;="&amp;AP$4)&gt;0,"■",""))</f>
        <v/>
      </c>
      <c r="AQ13" s="29">
        <f>IF($A13="","",IF(COUNTIFS('案件台帳'!$C$6:$C$65,$A13,'案件台帳'!$E$6:$E$65,"&lt;="&amp;AQ$4,'案件台帳'!$F$6:$F$65,"&gt;="&amp;AQ$4)+COUNTIFS('案件台帳'!$C$6:$C$65,$A13,'案件台帳'!$E$6:$E$65,"",'案件台帳'!$F$6:$F$65,"&gt;="&amp;AQ$4)&gt;0,"■",""))</f>
        <v/>
      </c>
      <c r="AR13" s="29">
        <f>IF($A13="","",IF(COUNTIFS('案件台帳'!$C$6:$C$65,$A13,'案件台帳'!$E$6:$E$65,"&lt;="&amp;AR$4,'案件台帳'!$F$6:$F$65,"&gt;="&amp;AR$4)+COUNTIFS('案件台帳'!$C$6:$C$65,$A13,'案件台帳'!$E$6:$E$65,"",'案件台帳'!$F$6:$F$65,"&gt;="&amp;AR$4)&gt;0,"■",""))</f>
        <v/>
      </c>
      <c r="AS13" s="29">
        <f>IF($A13="","",IF(COUNTIFS('案件台帳'!$C$6:$C$65,$A13,'案件台帳'!$E$6:$E$65,"&lt;="&amp;AS$4,'案件台帳'!$F$6:$F$65,"&gt;="&amp;AS$4)+COUNTIFS('案件台帳'!$C$6:$C$65,$A13,'案件台帳'!$E$6:$E$65,"",'案件台帳'!$F$6:$F$65,"&gt;="&amp;AS$4)&gt;0,"■",""))</f>
        <v/>
      </c>
      <c r="AT13" s="29">
        <f>IF($A13="","",IF(COUNTIFS('案件台帳'!$C$6:$C$65,$A13,'案件台帳'!$E$6:$E$65,"&lt;="&amp;AT$4,'案件台帳'!$F$6:$F$65,"&gt;="&amp;AT$4)+COUNTIFS('案件台帳'!$C$6:$C$65,$A13,'案件台帳'!$E$6:$E$65,"",'案件台帳'!$F$6:$F$65,"&gt;="&amp;AT$4)&gt;0,"■",""))</f>
        <v/>
      </c>
      <c r="AU13" s="29">
        <f>IF($A13="","",IF(COUNTIFS('案件台帳'!$C$6:$C$65,$A13,'案件台帳'!$E$6:$E$65,"&lt;="&amp;AU$4,'案件台帳'!$F$6:$F$65,"&gt;="&amp;AU$4)+COUNTIFS('案件台帳'!$C$6:$C$65,$A13,'案件台帳'!$E$6:$E$65,"",'案件台帳'!$F$6:$F$65,"&gt;="&amp;AU$4)&gt;0,"■",""))</f>
        <v/>
      </c>
      <c r="AV13" s="29">
        <f>IF($A13="","",IF(COUNTIFS('案件台帳'!$C$6:$C$65,$A13,'案件台帳'!$E$6:$E$65,"&lt;="&amp;AV$4,'案件台帳'!$F$6:$F$65,"&gt;="&amp;AV$4)+COUNTIFS('案件台帳'!$C$6:$C$65,$A13,'案件台帳'!$E$6:$E$65,"",'案件台帳'!$F$6:$F$65,"&gt;="&amp;AV$4)&gt;0,"■",""))</f>
        <v/>
      </c>
      <c r="AW13" s="29">
        <f>IF($A13="","",IF(COUNTIFS('案件台帳'!$C$6:$C$65,$A13,'案件台帳'!$E$6:$E$65,"&lt;="&amp;AW$4,'案件台帳'!$F$6:$F$65,"&gt;="&amp;AW$4)+COUNTIFS('案件台帳'!$C$6:$C$65,$A13,'案件台帳'!$E$6:$E$65,"",'案件台帳'!$F$6:$F$65,"&gt;="&amp;AW$4)&gt;0,"■",""))</f>
        <v/>
      </c>
      <c r="AX13" s="29">
        <f>IF($A13="","",IF(COUNTIFS('案件台帳'!$C$6:$C$65,$A13,'案件台帳'!$E$6:$E$65,"&lt;="&amp;AX$4,'案件台帳'!$F$6:$F$65,"&gt;="&amp;AX$4)+COUNTIFS('案件台帳'!$C$6:$C$65,$A13,'案件台帳'!$E$6:$E$65,"",'案件台帳'!$F$6:$F$65,"&gt;="&amp;AX$4)&gt;0,"■",""))</f>
        <v/>
      </c>
      <c r="AY13" s="29">
        <f>IF($A13="","",IF(COUNTIFS('案件台帳'!$C$6:$C$65,$A13,'案件台帳'!$E$6:$E$65,"&lt;="&amp;AY$4,'案件台帳'!$F$6:$F$65,"&gt;="&amp;AY$4)+COUNTIFS('案件台帳'!$C$6:$C$65,$A13,'案件台帳'!$E$6:$E$65,"",'案件台帳'!$F$6:$F$65,"&gt;="&amp;AY$4)&gt;0,"■",""))</f>
        <v/>
      </c>
      <c r="AZ13" s="29">
        <f>IF($A13="","",IF(COUNTIFS('案件台帳'!$C$6:$C$65,$A13,'案件台帳'!$E$6:$E$65,"&lt;="&amp;AZ$4,'案件台帳'!$F$6:$F$65,"&gt;="&amp;AZ$4)+COUNTIFS('案件台帳'!$C$6:$C$65,$A13,'案件台帳'!$E$6:$E$65,"",'案件台帳'!$F$6:$F$65,"&gt;="&amp;AZ$4)&gt;0,"■",""))</f>
        <v/>
      </c>
      <c r="BA13" s="29">
        <f>IF($A13="","",IF(COUNTIFS('案件台帳'!$C$6:$C$65,$A13,'案件台帳'!$E$6:$E$65,"&lt;="&amp;BA$4,'案件台帳'!$F$6:$F$65,"&gt;="&amp;BA$4)+COUNTIFS('案件台帳'!$C$6:$C$65,$A13,'案件台帳'!$E$6:$E$65,"",'案件台帳'!$F$6:$F$65,"&gt;="&amp;BA$4)&gt;0,"■",""))</f>
        <v/>
      </c>
      <c r="BB13" s="29">
        <f>IF($A13="","",IF(COUNTIFS('案件台帳'!$C$6:$C$65,$A13,'案件台帳'!$E$6:$E$65,"&lt;="&amp;BB$4,'案件台帳'!$F$6:$F$65,"&gt;="&amp;BB$4)+COUNTIFS('案件台帳'!$C$6:$C$65,$A13,'案件台帳'!$E$6:$E$65,"",'案件台帳'!$F$6:$F$65,"&gt;="&amp;BB$4)&gt;0,"■",""))</f>
        <v/>
      </c>
      <c r="BC13" s="29">
        <f>IF($A13="","",IF(COUNTIFS('案件台帳'!$C$6:$C$65,$A13,'案件台帳'!$E$6:$E$65,"&lt;="&amp;BC$4,'案件台帳'!$F$6:$F$65,"&gt;="&amp;BC$4)+COUNTIFS('案件台帳'!$C$6:$C$65,$A13,'案件台帳'!$E$6:$E$65,"",'案件台帳'!$F$6:$F$65,"&gt;="&amp;BC$4)&gt;0,"■",""))</f>
        <v/>
      </c>
      <c r="BD13" s="29">
        <f>IF($A13="","",IF(COUNTIFS('案件台帳'!$C$6:$C$65,$A13,'案件台帳'!$E$6:$E$65,"&lt;="&amp;BD$4,'案件台帳'!$F$6:$F$65,"&gt;="&amp;BD$4)+COUNTIFS('案件台帳'!$C$6:$C$65,$A13,'案件台帳'!$E$6:$E$65,"",'案件台帳'!$F$6:$F$65,"&gt;="&amp;BD$4)&gt;0,"■",""))</f>
        <v/>
      </c>
      <c r="BE13" s="29">
        <f>IF($A13="","",IF(COUNTIFS('案件台帳'!$C$6:$C$65,$A13,'案件台帳'!$E$6:$E$65,"&lt;="&amp;BE$4,'案件台帳'!$F$6:$F$65,"&gt;="&amp;BE$4)+COUNTIFS('案件台帳'!$C$6:$C$65,$A13,'案件台帳'!$E$6:$E$65,"",'案件台帳'!$F$6:$F$65,"&gt;="&amp;BE$4)&gt;0,"■",""))</f>
        <v/>
      </c>
      <c r="BF13" s="29">
        <f>IF($A13="","",IF(COUNTIFS('案件台帳'!$C$6:$C$65,$A13,'案件台帳'!$E$6:$E$65,"&lt;="&amp;BF$4,'案件台帳'!$F$6:$F$65,"&gt;="&amp;BF$4)+COUNTIFS('案件台帳'!$C$6:$C$65,$A13,'案件台帳'!$E$6:$E$65,"",'案件台帳'!$F$6:$F$65,"&gt;="&amp;BF$4)&gt;0,"■",""))</f>
        <v/>
      </c>
      <c r="BG13" s="29">
        <f>IF($A13="","",IF(COUNTIFS('案件台帳'!$C$6:$C$65,$A13,'案件台帳'!$E$6:$E$65,"&lt;="&amp;BG$4,'案件台帳'!$F$6:$F$65,"&gt;="&amp;BG$4)+COUNTIFS('案件台帳'!$C$6:$C$65,$A13,'案件台帳'!$E$6:$E$65,"",'案件台帳'!$F$6:$F$65,"&gt;="&amp;BG$4)&gt;0,"■",""))</f>
        <v/>
      </c>
      <c r="BH13" s="29">
        <f>IF($A13="","",IF(COUNTIFS('案件台帳'!$C$6:$C$65,$A13,'案件台帳'!$E$6:$E$65,"&lt;="&amp;BH$4,'案件台帳'!$F$6:$F$65,"&gt;="&amp;BH$4)+COUNTIFS('案件台帳'!$C$6:$C$65,$A13,'案件台帳'!$E$6:$E$65,"",'案件台帳'!$F$6:$F$65,"&gt;="&amp;BH$4)&gt;0,"■",""))</f>
        <v/>
      </c>
      <c r="BI13" s="29">
        <f>IF($A13="","",IF(COUNTIFS('案件台帳'!$C$6:$C$65,$A13,'案件台帳'!$E$6:$E$65,"&lt;="&amp;BI$4,'案件台帳'!$F$6:$F$65,"&gt;="&amp;BI$4)+COUNTIFS('案件台帳'!$C$6:$C$65,$A13,'案件台帳'!$E$6:$E$65,"",'案件台帳'!$F$6:$F$65,"&gt;="&amp;BI$4)&gt;0,"■",""))</f>
        <v/>
      </c>
      <c r="BJ13" s="29">
        <f>IF($A13="","",IF(COUNTIFS('案件台帳'!$C$6:$C$65,$A13,'案件台帳'!$E$6:$E$65,"&lt;="&amp;BJ$4,'案件台帳'!$F$6:$F$65,"&gt;="&amp;BJ$4)+COUNTIFS('案件台帳'!$C$6:$C$65,$A13,'案件台帳'!$E$6:$E$65,"",'案件台帳'!$F$6:$F$65,"&gt;="&amp;BJ$4)&gt;0,"■",""))</f>
        <v/>
      </c>
      <c r="BK13" s="29">
        <f>IF($A13="","",IF(COUNTIFS('案件台帳'!$C$6:$C$65,$A13,'案件台帳'!$E$6:$E$65,"&lt;="&amp;BK$4,'案件台帳'!$F$6:$F$65,"&gt;="&amp;BK$4)+COUNTIFS('案件台帳'!$C$6:$C$65,$A13,'案件台帳'!$E$6:$E$65,"",'案件台帳'!$F$6:$F$65,"&gt;="&amp;BK$4)&gt;0,"■",""))</f>
        <v/>
      </c>
      <c r="BL13" s="29">
        <f>IF($A13="","",IF(COUNTIFS('案件台帳'!$C$6:$C$65,$A13,'案件台帳'!$E$6:$E$65,"&lt;="&amp;BL$4,'案件台帳'!$F$6:$F$65,"&gt;="&amp;BL$4)+COUNTIFS('案件台帳'!$C$6:$C$65,$A13,'案件台帳'!$E$6:$E$65,"",'案件台帳'!$F$6:$F$65,"&gt;="&amp;BL$4)&gt;0,"■",""))</f>
        <v/>
      </c>
    </row>
    <row r="14">
      <c r="A14" s="24">
        <f>IF(職人ダッシュボード!$A$13="","",職人ダッシュボード!$A$13)</f>
        <v/>
      </c>
      <c r="B14" s="29">
        <f>IF($A14="","",IF(COUNTIFS('案件台帳'!$C$6:$C$65,$A14,'案件台帳'!$E$6:$E$65,"&lt;="&amp;B$4,'案件台帳'!$F$6:$F$65,"&gt;="&amp;B$4)+COUNTIFS('案件台帳'!$C$6:$C$65,$A14,'案件台帳'!$E$6:$E$65,"",'案件台帳'!$F$6:$F$65,"&gt;="&amp;B$4)&gt;0,"■",""))</f>
        <v/>
      </c>
      <c r="C14" s="29">
        <f>IF($A14="","",IF(COUNTIFS('案件台帳'!$C$6:$C$65,$A14,'案件台帳'!$E$6:$E$65,"&lt;="&amp;C$4,'案件台帳'!$F$6:$F$65,"&gt;="&amp;C$4)+COUNTIFS('案件台帳'!$C$6:$C$65,$A14,'案件台帳'!$E$6:$E$65,"",'案件台帳'!$F$6:$F$65,"&gt;="&amp;C$4)&gt;0,"■",""))</f>
        <v/>
      </c>
      <c r="D14" s="29">
        <f>IF($A14="","",IF(COUNTIFS('案件台帳'!$C$6:$C$65,$A14,'案件台帳'!$E$6:$E$65,"&lt;="&amp;D$4,'案件台帳'!$F$6:$F$65,"&gt;="&amp;D$4)+COUNTIFS('案件台帳'!$C$6:$C$65,$A14,'案件台帳'!$E$6:$E$65,"",'案件台帳'!$F$6:$F$65,"&gt;="&amp;D$4)&gt;0,"■",""))</f>
        <v/>
      </c>
      <c r="E14" s="29">
        <f>IF($A14="","",IF(COUNTIFS('案件台帳'!$C$6:$C$65,$A14,'案件台帳'!$E$6:$E$65,"&lt;="&amp;E$4,'案件台帳'!$F$6:$F$65,"&gt;="&amp;E$4)+COUNTIFS('案件台帳'!$C$6:$C$65,$A14,'案件台帳'!$E$6:$E$65,"",'案件台帳'!$F$6:$F$65,"&gt;="&amp;E$4)&gt;0,"■",""))</f>
        <v/>
      </c>
      <c r="F14" s="29">
        <f>IF($A14="","",IF(COUNTIFS('案件台帳'!$C$6:$C$65,$A14,'案件台帳'!$E$6:$E$65,"&lt;="&amp;F$4,'案件台帳'!$F$6:$F$65,"&gt;="&amp;F$4)+COUNTIFS('案件台帳'!$C$6:$C$65,$A14,'案件台帳'!$E$6:$E$65,"",'案件台帳'!$F$6:$F$65,"&gt;="&amp;F$4)&gt;0,"■",""))</f>
        <v/>
      </c>
      <c r="G14" s="29">
        <f>IF($A14="","",IF(COUNTIFS('案件台帳'!$C$6:$C$65,$A14,'案件台帳'!$E$6:$E$65,"&lt;="&amp;G$4,'案件台帳'!$F$6:$F$65,"&gt;="&amp;G$4)+COUNTIFS('案件台帳'!$C$6:$C$65,$A14,'案件台帳'!$E$6:$E$65,"",'案件台帳'!$F$6:$F$65,"&gt;="&amp;G$4)&gt;0,"■",""))</f>
        <v/>
      </c>
      <c r="H14" s="29">
        <f>IF($A14="","",IF(COUNTIFS('案件台帳'!$C$6:$C$65,$A14,'案件台帳'!$E$6:$E$65,"&lt;="&amp;H$4,'案件台帳'!$F$6:$F$65,"&gt;="&amp;H$4)+COUNTIFS('案件台帳'!$C$6:$C$65,$A14,'案件台帳'!$E$6:$E$65,"",'案件台帳'!$F$6:$F$65,"&gt;="&amp;H$4)&gt;0,"■",""))</f>
        <v/>
      </c>
      <c r="I14" s="29">
        <f>IF($A14="","",IF(COUNTIFS('案件台帳'!$C$6:$C$65,$A14,'案件台帳'!$E$6:$E$65,"&lt;="&amp;I$4,'案件台帳'!$F$6:$F$65,"&gt;="&amp;I$4)+COUNTIFS('案件台帳'!$C$6:$C$65,$A14,'案件台帳'!$E$6:$E$65,"",'案件台帳'!$F$6:$F$65,"&gt;="&amp;I$4)&gt;0,"■",""))</f>
        <v/>
      </c>
      <c r="J14" s="29">
        <f>IF($A14="","",IF(COUNTIFS('案件台帳'!$C$6:$C$65,$A14,'案件台帳'!$E$6:$E$65,"&lt;="&amp;J$4,'案件台帳'!$F$6:$F$65,"&gt;="&amp;J$4)+COUNTIFS('案件台帳'!$C$6:$C$65,$A14,'案件台帳'!$E$6:$E$65,"",'案件台帳'!$F$6:$F$65,"&gt;="&amp;J$4)&gt;0,"■",""))</f>
        <v/>
      </c>
      <c r="K14" s="29">
        <f>IF($A14="","",IF(COUNTIFS('案件台帳'!$C$6:$C$65,$A14,'案件台帳'!$E$6:$E$65,"&lt;="&amp;K$4,'案件台帳'!$F$6:$F$65,"&gt;="&amp;K$4)+COUNTIFS('案件台帳'!$C$6:$C$65,$A14,'案件台帳'!$E$6:$E$65,"",'案件台帳'!$F$6:$F$65,"&gt;="&amp;K$4)&gt;0,"■",""))</f>
        <v/>
      </c>
      <c r="L14" s="29">
        <f>IF($A14="","",IF(COUNTIFS('案件台帳'!$C$6:$C$65,$A14,'案件台帳'!$E$6:$E$65,"&lt;="&amp;L$4,'案件台帳'!$F$6:$F$65,"&gt;="&amp;L$4)+COUNTIFS('案件台帳'!$C$6:$C$65,$A14,'案件台帳'!$E$6:$E$65,"",'案件台帳'!$F$6:$F$65,"&gt;="&amp;L$4)&gt;0,"■",""))</f>
        <v/>
      </c>
      <c r="M14" s="29">
        <f>IF($A14="","",IF(COUNTIFS('案件台帳'!$C$6:$C$65,$A14,'案件台帳'!$E$6:$E$65,"&lt;="&amp;M$4,'案件台帳'!$F$6:$F$65,"&gt;="&amp;M$4)+COUNTIFS('案件台帳'!$C$6:$C$65,$A14,'案件台帳'!$E$6:$E$65,"",'案件台帳'!$F$6:$F$65,"&gt;="&amp;M$4)&gt;0,"■",""))</f>
        <v/>
      </c>
      <c r="N14" s="29">
        <f>IF($A14="","",IF(COUNTIFS('案件台帳'!$C$6:$C$65,$A14,'案件台帳'!$E$6:$E$65,"&lt;="&amp;N$4,'案件台帳'!$F$6:$F$65,"&gt;="&amp;N$4)+COUNTIFS('案件台帳'!$C$6:$C$65,$A14,'案件台帳'!$E$6:$E$65,"",'案件台帳'!$F$6:$F$65,"&gt;="&amp;N$4)&gt;0,"■",""))</f>
        <v/>
      </c>
      <c r="O14" s="29">
        <f>IF($A14="","",IF(COUNTIFS('案件台帳'!$C$6:$C$65,$A14,'案件台帳'!$E$6:$E$65,"&lt;="&amp;O$4,'案件台帳'!$F$6:$F$65,"&gt;="&amp;O$4)+COUNTIFS('案件台帳'!$C$6:$C$65,$A14,'案件台帳'!$E$6:$E$65,"",'案件台帳'!$F$6:$F$65,"&gt;="&amp;O$4)&gt;0,"■",""))</f>
        <v/>
      </c>
      <c r="P14" s="29">
        <f>IF($A14="","",IF(COUNTIFS('案件台帳'!$C$6:$C$65,$A14,'案件台帳'!$E$6:$E$65,"&lt;="&amp;P$4,'案件台帳'!$F$6:$F$65,"&gt;="&amp;P$4)+COUNTIFS('案件台帳'!$C$6:$C$65,$A14,'案件台帳'!$E$6:$E$65,"",'案件台帳'!$F$6:$F$65,"&gt;="&amp;P$4)&gt;0,"■",""))</f>
        <v/>
      </c>
      <c r="Q14" s="29">
        <f>IF($A14="","",IF(COUNTIFS('案件台帳'!$C$6:$C$65,$A14,'案件台帳'!$E$6:$E$65,"&lt;="&amp;Q$4,'案件台帳'!$F$6:$F$65,"&gt;="&amp;Q$4)+COUNTIFS('案件台帳'!$C$6:$C$65,$A14,'案件台帳'!$E$6:$E$65,"",'案件台帳'!$F$6:$F$65,"&gt;="&amp;Q$4)&gt;0,"■",""))</f>
        <v/>
      </c>
      <c r="R14" s="29">
        <f>IF($A14="","",IF(COUNTIFS('案件台帳'!$C$6:$C$65,$A14,'案件台帳'!$E$6:$E$65,"&lt;="&amp;R$4,'案件台帳'!$F$6:$F$65,"&gt;="&amp;R$4)+COUNTIFS('案件台帳'!$C$6:$C$65,$A14,'案件台帳'!$E$6:$E$65,"",'案件台帳'!$F$6:$F$65,"&gt;="&amp;R$4)&gt;0,"■",""))</f>
        <v/>
      </c>
      <c r="S14" s="29">
        <f>IF($A14="","",IF(COUNTIFS('案件台帳'!$C$6:$C$65,$A14,'案件台帳'!$E$6:$E$65,"&lt;="&amp;S$4,'案件台帳'!$F$6:$F$65,"&gt;="&amp;S$4)+COUNTIFS('案件台帳'!$C$6:$C$65,$A14,'案件台帳'!$E$6:$E$65,"",'案件台帳'!$F$6:$F$65,"&gt;="&amp;S$4)&gt;0,"■",""))</f>
        <v/>
      </c>
      <c r="T14" s="29">
        <f>IF($A14="","",IF(COUNTIFS('案件台帳'!$C$6:$C$65,$A14,'案件台帳'!$E$6:$E$65,"&lt;="&amp;T$4,'案件台帳'!$F$6:$F$65,"&gt;="&amp;T$4)+COUNTIFS('案件台帳'!$C$6:$C$65,$A14,'案件台帳'!$E$6:$E$65,"",'案件台帳'!$F$6:$F$65,"&gt;="&amp;T$4)&gt;0,"■",""))</f>
        <v/>
      </c>
      <c r="U14" s="29">
        <f>IF($A14="","",IF(COUNTIFS('案件台帳'!$C$6:$C$65,$A14,'案件台帳'!$E$6:$E$65,"&lt;="&amp;U$4,'案件台帳'!$F$6:$F$65,"&gt;="&amp;U$4)+COUNTIFS('案件台帳'!$C$6:$C$65,$A14,'案件台帳'!$E$6:$E$65,"",'案件台帳'!$F$6:$F$65,"&gt;="&amp;U$4)&gt;0,"■",""))</f>
        <v/>
      </c>
      <c r="V14" s="29">
        <f>IF($A14="","",IF(COUNTIFS('案件台帳'!$C$6:$C$65,$A14,'案件台帳'!$E$6:$E$65,"&lt;="&amp;V$4,'案件台帳'!$F$6:$F$65,"&gt;="&amp;V$4)+COUNTIFS('案件台帳'!$C$6:$C$65,$A14,'案件台帳'!$E$6:$E$65,"",'案件台帳'!$F$6:$F$65,"&gt;="&amp;V$4)&gt;0,"■",""))</f>
        <v/>
      </c>
      <c r="W14" s="29">
        <f>IF($A14="","",IF(COUNTIFS('案件台帳'!$C$6:$C$65,$A14,'案件台帳'!$E$6:$E$65,"&lt;="&amp;W$4,'案件台帳'!$F$6:$F$65,"&gt;="&amp;W$4)+COUNTIFS('案件台帳'!$C$6:$C$65,$A14,'案件台帳'!$E$6:$E$65,"",'案件台帳'!$F$6:$F$65,"&gt;="&amp;W$4)&gt;0,"■",""))</f>
        <v/>
      </c>
      <c r="X14" s="29">
        <f>IF($A14="","",IF(COUNTIFS('案件台帳'!$C$6:$C$65,$A14,'案件台帳'!$E$6:$E$65,"&lt;="&amp;X$4,'案件台帳'!$F$6:$F$65,"&gt;="&amp;X$4)+COUNTIFS('案件台帳'!$C$6:$C$65,$A14,'案件台帳'!$E$6:$E$65,"",'案件台帳'!$F$6:$F$65,"&gt;="&amp;X$4)&gt;0,"■",""))</f>
        <v/>
      </c>
      <c r="Y14" s="29">
        <f>IF($A14="","",IF(COUNTIFS('案件台帳'!$C$6:$C$65,$A14,'案件台帳'!$E$6:$E$65,"&lt;="&amp;Y$4,'案件台帳'!$F$6:$F$65,"&gt;="&amp;Y$4)+COUNTIFS('案件台帳'!$C$6:$C$65,$A14,'案件台帳'!$E$6:$E$65,"",'案件台帳'!$F$6:$F$65,"&gt;="&amp;Y$4)&gt;0,"■",""))</f>
        <v/>
      </c>
      <c r="Z14" s="29">
        <f>IF($A14="","",IF(COUNTIFS('案件台帳'!$C$6:$C$65,$A14,'案件台帳'!$E$6:$E$65,"&lt;="&amp;Z$4,'案件台帳'!$F$6:$F$65,"&gt;="&amp;Z$4)+COUNTIFS('案件台帳'!$C$6:$C$65,$A14,'案件台帳'!$E$6:$E$65,"",'案件台帳'!$F$6:$F$65,"&gt;="&amp;Z$4)&gt;0,"■",""))</f>
        <v/>
      </c>
      <c r="AA14" s="29">
        <f>IF($A14="","",IF(COUNTIFS('案件台帳'!$C$6:$C$65,$A14,'案件台帳'!$E$6:$E$65,"&lt;="&amp;AA$4,'案件台帳'!$F$6:$F$65,"&gt;="&amp;AA$4)+COUNTIFS('案件台帳'!$C$6:$C$65,$A14,'案件台帳'!$E$6:$E$65,"",'案件台帳'!$F$6:$F$65,"&gt;="&amp;AA$4)&gt;0,"■",""))</f>
        <v/>
      </c>
      <c r="AB14" s="29">
        <f>IF($A14="","",IF(COUNTIFS('案件台帳'!$C$6:$C$65,$A14,'案件台帳'!$E$6:$E$65,"&lt;="&amp;AB$4,'案件台帳'!$F$6:$F$65,"&gt;="&amp;AB$4)+COUNTIFS('案件台帳'!$C$6:$C$65,$A14,'案件台帳'!$E$6:$E$65,"",'案件台帳'!$F$6:$F$65,"&gt;="&amp;AB$4)&gt;0,"■",""))</f>
        <v/>
      </c>
      <c r="AC14" s="29">
        <f>IF($A14="","",IF(COUNTIFS('案件台帳'!$C$6:$C$65,$A14,'案件台帳'!$E$6:$E$65,"&lt;="&amp;AC$4,'案件台帳'!$F$6:$F$65,"&gt;="&amp;AC$4)+COUNTIFS('案件台帳'!$C$6:$C$65,$A14,'案件台帳'!$E$6:$E$65,"",'案件台帳'!$F$6:$F$65,"&gt;="&amp;AC$4)&gt;0,"■",""))</f>
        <v/>
      </c>
      <c r="AD14" s="29">
        <f>IF($A14="","",IF(COUNTIFS('案件台帳'!$C$6:$C$65,$A14,'案件台帳'!$E$6:$E$65,"&lt;="&amp;AD$4,'案件台帳'!$F$6:$F$65,"&gt;="&amp;AD$4)+COUNTIFS('案件台帳'!$C$6:$C$65,$A14,'案件台帳'!$E$6:$E$65,"",'案件台帳'!$F$6:$F$65,"&gt;="&amp;AD$4)&gt;0,"■",""))</f>
        <v/>
      </c>
      <c r="AE14" s="29">
        <f>IF($A14="","",IF(COUNTIFS('案件台帳'!$C$6:$C$65,$A14,'案件台帳'!$E$6:$E$65,"&lt;="&amp;AE$4,'案件台帳'!$F$6:$F$65,"&gt;="&amp;AE$4)+COUNTIFS('案件台帳'!$C$6:$C$65,$A14,'案件台帳'!$E$6:$E$65,"",'案件台帳'!$F$6:$F$65,"&gt;="&amp;AE$4)&gt;0,"■",""))</f>
        <v/>
      </c>
      <c r="AF14" s="29">
        <f>IF($A14="","",IF(COUNTIFS('案件台帳'!$C$6:$C$65,$A14,'案件台帳'!$E$6:$E$65,"&lt;="&amp;AF$4,'案件台帳'!$F$6:$F$65,"&gt;="&amp;AF$4)+COUNTIFS('案件台帳'!$C$6:$C$65,$A14,'案件台帳'!$E$6:$E$65,"",'案件台帳'!$F$6:$F$65,"&gt;="&amp;AF$4)&gt;0,"■",""))</f>
        <v/>
      </c>
      <c r="AG14" s="29">
        <f>IF($A14="","",IF(COUNTIFS('案件台帳'!$C$6:$C$65,$A14,'案件台帳'!$E$6:$E$65,"&lt;="&amp;AG$4,'案件台帳'!$F$6:$F$65,"&gt;="&amp;AG$4)+COUNTIFS('案件台帳'!$C$6:$C$65,$A14,'案件台帳'!$E$6:$E$65,"",'案件台帳'!$F$6:$F$65,"&gt;="&amp;AG$4)&gt;0,"■",""))</f>
        <v/>
      </c>
      <c r="AH14" s="29">
        <f>IF($A14="","",IF(COUNTIFS('案件台帳'!$C$6:$C$65,$A14,'案件台帳'!$E$6:$E$65,"&lt;="&amp;AH$4,'案件台帳'!$F$6:$F$65,"&gt;="&amp;AH$4)+COUNTIFS('案件台帳'!$C$6:$C$65,$A14,'案件台帳'!$E$6:$E$65,"",'案件台帳'!$F$6:$F$65,"&gt;="&amp;AH$4)&gt;0,"■",""))</f>
        <v/>
      </c>
      <c r="AI14" s="29">
        <f>IF($A14="","",IF(COUNTIFS('案件台帳'!$C$6:$C$65,$A14,'案件台帳'!$E$6:$E$65,"&lt;="&amp;AI$4,'案件台帳'!$F$6:$F$65,"&gt;="&amp;AI$4)+COUNTIFS('案件台帳'!$C$6:$C$65,$A14,'案件台帳'!$E$6:$E$65,"",'案件台帳'!$F$6:$F$65,"&gt;="&amp;AI$4)&gt;0,"■",""))</f>
        <v/>
      </c>
      <c r="AJ14" s="29">
        <f>IF($A14="","",IF(COUNTIFS('案件台帳'!$C$6:$C$65,$A14,'案件台帳'!$E$6:$E$65,"&lt;="&amp;AJ$4,'案件台帳'!$F$6:$F$65,"&gt;="&amp;AJ$4)+COUNTIFS('案件台帳'!$C$6:$C$65,$A14,'案件台帳'!$E$6:$E$65,"",'案件台帳'!$F$6:$F$65,"&gt;="&amp;AJ$4)&gt;0,"■",""))</f>
        <v/>
      </c>
      <c r="AK14" s="29">
        <f>IF($A14="","",IF(COUNTIFS('案件台帳'!$C$6:$C$65,$A14,'案件台帳'!$E$6:$E$65,"&lt;="&amp;AK$4,'案件台帳'!$F$6:$F$65,"&gt;="&amp;AK$4)+COUNTIFS('案件台帳'!$C$6:$C$65,$A14,'案件台帳'!$E$6:$E$65,"",'案件台帳'!$F$6:$F$65,"&gt;="&amp;AK$4)&gt;0,"■",""))</f>
        <v/>
      </c>
      <c r="AL14" s="29">
        <f>IF($A14="","",IF(COUNTIFS('案件台帳'!$C$6:$C$65,$A14,'案件台帳'!$E$6:$E$65,"&lt;="&amp;AL$4,'案件台帳'!$F$6:$F$65,"&gt;="&amp;AL$4)+COUNTIFS('案件台帳'!$C$6:$C$65,$A14,'案件台帳'!$E$6:$E$65,"",'案件台帳'!$F$6:$F$65,"&gt;="&amp;AL$4)&gt;0,"■",""))</f>
        <v/>
      </c>
      <c r="AM14" s="29">
        <f>IF($A14="","",IF(COUNTIFS('案件台帳'!$C$6:$C$65,$A14,'案件台帳'!$E$6:$E$65,"&lt;="&amp;AM$4,'案件台帳'!$F$6:$F$65,"&gt;="&amp;AM$4)+COUNTIFS('案件台帳'!$C$6:$C$65,$A14,'案件台帳'!$E$6:$E$65,"",'案件台帳'!$F$6:$F$65,"&gt;="&amp;AM$4)&gt;0,"■",""))</f>
        <v/>
      </c>
      <c r="AN14" s="29">
        <f>IF($A14="","",IF(COUNTIFS('案件台帳'!$C$6:$C$65,$A14,'案件台帳'!$E$6:$E$65,"&lt;="&amp;AN$4,'案件台帳'!$F$6:$F$65,"&gt;="&amp;AN$4)+COUNTIFS('案件台帳'!$C$6:$C$65,$A14,'案件台帳'!$E$6:$E$65,"",'案件台帳'!$F$6:$F$65,"&gt;="&amp;AN$4)&gt;0,"■",""))</f>
        <v/>
      </c>
      <c r="AO14" s="29">
        <f>IF($A14="","",IF(COUNTIFS('案件台帳'!$C$6:$C$65,$A14,'案件台帳'!$E$6:$E$65,"&lt;="&amp;AO$4,'案件台帳'!$F$6:$F$65,"&gt;="&amp;AO$4)+COUNTIFS('案件台帳'!$C$6:$C$65,$A14,'案件台帳'!$E$6:$E$65,"",'案件台帳'!$F$6:$F$65,"&gt;="&amp;AO$4)&gt;0,"■",""))</f>
        <v/>
      </c>
      <c r="AP14" s="29">
        <f>IF($A14="","",IF(COUNTIFS('案件台帳'!$C$6:$C$65,$A14,'案件台帳'!$E$6:$E$65,"&lt;="&amp;AP$4,'案件台帳'!$F$6:$F$65,"&gt;="&amp;AP$4)+COUNTIFS('案件台帳'!$C$6:$C$65,$A14,'案件台帳'!$E$6:$E$65,"",'案件台帳'!$F$6:$F$65,"&gt;="&amp;AP$4)&gt;0,"■",""))</f>
        <v/>
      </c>
      <c r="AQ14" s="29">
        <f>IF($A14="","",IF(COUNTIFS('案件台帳'!$C$6:$C$65,$A14,'案件台帳'!$E$6:$E$65,"&lt;="&amp;AQ$4,'案件台帳'!$F$6:$F$65,"&gt;="&amp;AQ$4)+COUNTIFS('案件台帳'!$C$6:$C$65,$A14,'案件台帳'!$E$6:$E$65,"",'案件台帳'!$F$6:$F$65,"&gt;="&amp;AQ$4)&gt;0,"■",""))</f>
        <v/>
      </c>
      <c r="AR14" s="29">
        <f>IF($A14="","",IF(COUNTIFS('案件台帳'!$C$6:$C$65,$A14,'案件台帳'!$E$6:$E$65,"&lt;="&amp;AR$4,'案件台帳'!$F$6:$F$65,"&gt;="&amp;AR$4)+COUNTIFS('案件台帳'!$C$6:$C$65,$A14,'案件台帳'!$E$6:$E$65,"",'案件台帳'!$F$6:$F$65,"&gt;="&amp;AR$4)&gt;0,"■",""))</f>
        <v/>
      </c>
      <c r="AS14" s="29">
        <f>IF($A14="","",IF(COUNTIFS('案件台帳'!$C$6:$C$65,$A14,'案件台帳'!$E$6:$E$65,"&lt;="&amp;AS$4,'案件台帳'!$F$6:$F$65,"&gt;="&amp;AS$4)+COUNTIFS('案件台帳'!$C$6:$C$65,$A14,'案件台帳'!$E$6:$E$65,"",'案件台帳'!$F$6:$F$65,"&gt;="&amp;AS$4)&gt;0,"■",""))</f>
        <v/>
      </c>
      <c r="AT14" s="29">
        <f>IF($A14="","",IF(COUNTIFS('案件台帳'!$C$6:$C$65,$A14,'案件台帳'!$E$6:$E$65,"&lt;="&amp;AT$4,'案件台帳'!$F$6:$F$65,"&gt;="&amp;AT$4)+COUNTIFS('案件台帳'!$C$6:$C$65,$A14,'案件台帳'!$E$6:$E$65,"",'案件台帳'!$F$6:$F$65,"&gt;="&amp;AT$4)&gt;0,"■",""))</f>
        <v/>
      </c>
      <c r="AU14" s="29">
        <f>IF($A14="","",IF(COUNTIFS('案件台帳'!$C$6:$C$65,$A14,'案件台帳'!$E$6:$E$65,"&lt;="&amp;AU$4,'案件台帳'!$F$6:$F$65,"&gt;="&amp;AU$4)+COUNTIFS('案件台帳'!$C$6:$C$65,$A14,'案件台帳'!$E$6:$E$65,"",'案件台帳'!$F$6:$F$65,"&gt;="&amp;AU$4)&gt;0,"■",""))</f>
        <v/>
      </c>
      <c r="AV14" s="29">
        <f>IF($A14="","",IF(COUNTIFS('案件台帳'!$C$6:$C$65,$A14,'案件台帳'!$E$6:$E$65,"&lt;="&amp;AV$4,'案件台帳'!$F$6:$F$65,"&gt;="&amp;AV$4)+COUNTIFS('案件台帳'!$C$6:$C$65,$A14,'案件台帳'!$E$6:$E$65,"",'案件台帳'!$F$6:$F$65,"&gt;="&amp;AV$4)&gt;0,"■",""))</f>
        <v/>
      </c>
      <c r="AW14" s="29">
        <f>IF($A14="","",IF(COUNTIFS('案件台帳'!$C$6:$C$65,$A14,'案件台帳'!$E$6:$E$65,"&lt;="&amp;AW$4,'案件台帳'!$F$6:$F$65,"&gt;="&amp;AW$4)+COUNTIFS('案件台帳'!$C$6:$C$65,$A14,'案件台帳'!$E$6:$E$65,"",'案件台帳'!$F$6:$F$65,"&gt;="&amp;AW$4)&gt;0,"■",""))</f>
        <v/>
      </c>
      <c r="AX14" s="29">
        <f>IF($A14="","",IF(COUNTIFS('案件台帳'!$C$6:$C$65,$A14,'案件台帳'!$E$6:$E$65,"&lt;="&amp;AX$4,'案件台帳'!$F$6:$F$65,"&gt;="&amp;AX$4)+COUNTIFS('案件台帳'!$C$6:$C$65,$A14,'案件台帳'!$E$6:$E$65,"",'案件台帳'!$F$6:$F$65,"&gt;="&amp;AX$4)&gt;0,"■",""))</f>
        <v/>
      </c>
      <c r="AY14" s="29">
        <f>IF($A14="","",IF(COUNTIFS('案件台帳'!$C$6:$C$65,$A14,'案件台帳'!$E$6:$E$65,"&lt;="&amp;AY$4,'案件台帳'!$F$6:$F$65,"&gt;="&amp;AY$4)+COUNTIFS('案件台帳'!$C$6:$C$65,$A14,'案件台帳'!$E$6:$E$65,"",'案件台帳'!$F$6:$F$65,"&gt;="&amp;AY$4)&gt;0,"■",""))</f>
        <v/>
      </c>
      <c r="AZ14" s="29">
        <f>IF($A14="","",IF(COUNTIFS('案件台帳'!$C$6:$C$65,$A14,'案件台帳'!$E$6:$E$65,"&lt;="&amp;AZ$4,'案件台帳'!$F$6:$F$65,"&gt;="&amp;AZ$4)+COUNTIFS('案件台帳'!$C$6:$C$65,$A14,'案件台帳'!$E$6:$E$65,"",'案件台帳'!$F$6:$F$65,"&gt;="&amp;AZ$4)&gt;0,"■",""))</f>
        <v/>
      </c>
      <c r="BA14" s="29">
        <f>IF($A14="","",IF(COUNTIFS('案件台帳'!$C$6:$C$65,$A14,'案件台帳'!$E$6:$E$65,"&lt;="&amp;BA$4,'案件台帳'!$F$6:$F$65,"&gt;="&amp;BA$4)+COUNTIFS('案件台帳'!$C$6:$C$65,$A14,'案件台帳'!$E$6:$E$65,"",'案件台帳'!$F$6:$F$65,"&gt;="&amp;BA$4)&gt;0,"■",""))</f>
        <v/>
      </c>
      <c r="BB14" s="29">
        <f>IF($A14="","",IF(COUNTIFS('案件台帳'!$C$6:$C$65,$A14,'案件台帳'!$E$6:$E$65,"&lt;="&amp;BB$4,'案件台帳'!$F$6:$F$65,"&gt;="&amp;BB$4)+COUNTIFS('案件台帳'!$C$6:$C$65,$A14,'案件台帳'!$E$6:$E$65,"",'案件台帳'!$F$6:$F$65,"&gt;="&amp;BB$4)&gt;0,"■",""))</f>
        <v/>
      </c>
      <c r="BC14" s="29">
        <f>IF($A14="","",IF(COUNTIFS('案件台帳'!$C$6:$C$65,$A14,'案件台帳'!$E$6:$E$65,"&lt;="&amp;BC$4,'案件台帳'!$F$6:$F$65,"&gt;="&amp;BC$4)+COUNTIFS('案件台帳'!$C$6:$C$65,$A14,'案件台帳'!$E$6:$E$65,"",'案件台帳'!$F$6:$F$65,"&gt;="&amp;BC$4)&gt;0,"■",""))</f>
        <v/>
      </c>
      <c r="BD14" s="29">
        <f>IF($A14="","",IF(COUNTIFS('案件台帳'!$C$6:$C$65,$A14,'案件台帳'!$E$6:$E$65,"&lt;="&amp;BD$4,'案件台帳'!$F$6:$F$65,"&gt;="&amp;BD$4)+COUNTIFS('案件台帳'!$C$6:$C$65,$A14,'案件台帳'!$E$6:$E$65,"",'案件台帳'!$F$6:$F$65,"&gt;="&amp;BD$4)&gt;0,"■",""))</f>
        <v/>
      </c>
      <c r="BE14" s="29">
        <f>IF($A14="","",IF(COUNTIFS('案件台帳'!$C$6:$C$65,$A14,'案件台帳'!$E$6:$E$65,"&lt;="&amp;BE$4,'案件台帳'!$F$6:$F$65,"&gt;="&amp;BE$4)+COUNTIFS('案件台帳'!$C$6:$C$65,$A14,'案件台帳'!$E$6:$E$65,"",'案件台帳'!$F$6:$F$65,"&gt;="&amp;BE$4)&gt;0,"■",""))</f>
        <v/>
      </c>
      <c r="BF14" s="29">
        <f>IF($A14="","",IF(COUNTIFS('案件台帳'!$C$6:$C$65,$A14,'案件台帳'!$E$6:$E$65,"&lt;="&amp;BF$4,'案件台帳'!$F$6:$F$65,"&gt;="&amp;BF$4)+COUNTIFS('案件台帳'!$C$6:$C$65,$A14,'案件台帳'!$E$6:$E$65,"",'案件台帳'!$F$6:$F$65,"&gt;="&amp;BF$4)&gt;0,"■",""))</f>
        <v/>
      </c>
      <c r="BG14" s="29">
        <f>IF($A14="","",IF(COUNTIFS('案件台帳'!$C$6:$C$65,$A14,'案件台帳'!$E$6:$E$65,"&lt;="&amp;BG$4,'案件台帳'!$F$6:$F$65,"&gt;="&amp;BG$4)+COUNTIFS('案件台帳'!$C$6:$C$65,$A14,'案件台帳'!$E$6:$E$65,"",'案件台帳'!$F$6:$F$65,"&gt;="&amp;BG$4)&gt;0,"■",""))</f>
        <v/>
      </c>
      <c r="BH14" s="29">
        <f>IF($A14="","",IF(COUNTIFS('案件台帳'!$C$6:$C$65,$A14,'案件台帳'!$E$6:$E$65,"&lt;="&amp;BH$4,'案件台帳'!$F$6:$F$65,"&gt;="&amp;BH$4)+COUNTIFS('案件台帳'!$C$6:$C$65,$A14,'案件台帳'!$E$6:$E$65,"",'案件台帳'!$F$6:$F$65,"&gt;="&amp;BH$4)&gt;0,"■",""))</f>
        <v/>
      </c>
      <c r="BI14" s="29">
        <f>IF($A14="","",IF(COUNTIFS('案件台帳'!$C$6:$C$65,$A14,'案件台帳'!$E$6:$E$65,"&lt;="&amp;BI$4,'案件台帳'!$F$6:$F$65,"&gt;="&amp;BI$4)+COUNTIFS('案件台帳'!$C$6:$C$65,$A14,'案件台帳'!$E$6:$E$65,"",'案件台帳'!$F$6:$F$65,"&gt;="&amp;BI$4)&gt;0,"■",""))</f>
        <v/>
      </c>
      <c r="BJ14" s="29">
        <f>IF($A14="","",IF(COUNTIFS('案件台帳'!$C$6:$C$65,$A14,'案件台帳'!$E$6:$E$65,"&lt;="&amp;BJ$4,'案件台帳'!$F$6:$F$65,"&gt;="&amp;BJ$4)+COUNTIFS('案件台帳'!$C$6:$C$65,$A14,'案件台帳'!$E$6:$E$65,"",'案件台帳'!$F$6:$F$65,"&gt;="&amp;BJ$4)&gt;0,"■",""))</f>
        <v/>
      </c>
      <c r="BK14" s="29">
        <f>IF($A14="","",IF(COUNTIFS('案件台帳'!$C$6:$C$65,$A14,'案件台帳'!$E$6:$E$65,"&lt;="&amp;BK$4,'案件台帳'!$F$6:$F$65,"&gt;="&amp;BK$4)+COUNTIFS('案件台帳'!$C$6:$C$65,$A14,'案件台帳'!$E$6:$E$65,"",'案件台帳'!$F$6:$F$65,"&gt;="&amp;BK$4)&gt;0,"■",""))</f>
        <v/>
      </c>
      <c r="BL14" s="29">
        <f>IF($A14="","",IF(COUNTIFS('案件台帳'!$C$6:$C$65,$A14,'案件台帳'!$E$6:$E$65,"&lt;="&amp;BL$4,'案件台帳'!$F$6:$F$65,"&gt;="&amp;BL$4)+COUNTIFS('案件台帳'!$C$6:$C$65,$A14,'案件台帳'!$E$6:$E$65,"",'案件台帳'!$F$6:$F$65,"&gt;="&amp;BL$4)&gt;0,"■",""))</f>
        <v/>
      </c>
    </row>
    <row r="15">
      <c r="A15" s="24">
        <f>IF(職人ダッシュボード!$A$14="","",職人ダッシュボード!$A$14)</f>
        <v/>
      </c>
      <c r="B15" s="29">
        <f>IF($A15="","",IF(COUNTIFS('案件台帳'!$C$6:$C$65,$A15,'案件台帳'!$E$6:$E$65,"&lt;="&amp;B$4,'案件台帳'!$F$6:$F$65,"&gt;="&amp;B$4)+COUNTIFS('案件台帳'!$C$6:$C$65,$A15,'案件台帳'!$E$6:$E$65,"",'案件台帳'!$F$6:$F$65,"&gt;="&amp;B$4)&gt;0,"■",""))</f>
        <v/>
      </c>
      <c r="C15" s="29">
        <f>IF($A15="","",IF(COUNTIFS('案件台帳'!$C$6:$C$65,$A15,'案件台帳'!$E$6:$E$65,"&lt;="&amp;C$4,'案件台帳'!$F$6:$F$65,"&gt;="&amp;C$4)+COUNTIFS('案件台帳'!$C$6:$C$65,$A15,'案件台帳'!$E$6:$E$65,"",'案件台帳'!$F$6:$F$65,"&gt;="&amp;C$4)&gt;0,"■",""))</f>
        <v/>
      </c>
      <c r="D15" s="29">
        <f>IF($A15="","",IF(COUNTIFS('案件台帳'!$C$6:$C$65,$A15,'案件台帳'!$E$6:$E$65,"&lt;="&amp;D$4,'案件台帳'!$F$6:$F$65,"&gt;="&amp;D$4)+COUNTIFS('案件台帳'!$C$6:$C$65,$A15,'案件台帳'!$E$6:$E$65,"",'案件台帳'!$F$6:$F$65,"&gt;="&amp;D$4)&gt;0,"■",""))</f>
        <v/>
      </c>
      <c r="E15" s="29">
        <f>IF($A15="","",IF(COUNTIFS('案件台帳'!$C$6:$C$65,$A15,'案件台帳'!$E$6:$E$65,"&lt;="&amp;E$4,'案件台帳'!$F$6:$F$65,"&gt;="&amp;E$4)+COUNTIFS('案件台帳'!$C$6:$C$65,$A15,'案件台帳'!$E$6:$E$65,"",'案件台帳'!$F$6:$F$65,"&gt;="&amp;E$4)&gt;0,"■",""))</f>
        <v/>
      </c>
      <c r="F15" s="29">
        <f>IF($A15="","",IF(COUNTIFS('案件台帳'!$C$6:$C$65,$A15,'案件台帳'!$E$6:$E$65,"&lt;="&amp;F$4,'案件台帳'!$F$6:$F$65,"&gt;="&amp;F$4)+COUNTIFS('案件台帳'!$C$6:$C$65,$A15,'案件台帳'!$E$6:$E$65,"",'案件台帳'!$F$6:$F$65,"&gt;="&amp;F$4)&gt;0,"■",""))</f>
        <v/>
      </c>
      <c r="G15" s="29">
        <f>IF($A15="","",IF(COUNTIFS('案件台帳'!$C$6:$C$65,$A15,'案件台帳'!$E$6:$E$65,"&lt;="&amp;G$4,'案件台帳'!$F$6:$F$65,"&gt;="&amp;G$4)+COUNTIFS('案件台帳'!$C$6:$C$65,$A15,'案件台帳'!$E$6:$E$65,"",'案件台帳'!$F$6:$F$65,"&gt;="&amp;G$4)&gt;0,"■",""))</f>
        <v/>
      </c>
      <c r="H15" s="29">
        <f>IF($A15="","",IF(COUNTIFS('案件台帳'!$C$6:$C$65,$A15,'案件台帳'!$E$6:$E$65,"&lt;="&amp;H$4,'案件台帳'!$F$6:$F$65,"&gt;="&amp;H$4)+COUNTIFS('案件台帳'!$C$6:$C$65,$A15,'案件台帳'!$E$6:$E$65,"",'案件台帳'!$F$6:$F$65,"&gt;="&amp;H$4)&gt;0,"■",""))</f>
        <v/>
      </c>
      <c r="I15" s="29">
        <f>IF($A15="","",IF(COUNTIFS('案件台帳'!$C$6:$C$65,$A15,'案件台帳'!$E$6:$E$65,"&lt;="&amp;I$4,'案件台帳'!$F$6:$F$65,"&gt;="&amp;I$4)+COUNTIFS('案件台帳'!$C$6:$C$65,$A15,'案件台帳'!$E$6:$E$65,"",'案件台帳'!$F$6:$F$65,"&gt;="&amp;I$4)&gt;0,"■",""))</f>
        <v/>
      </c>
      <c r="J15" s="29">
        <f>IF($A15="","",IF(COUNTIFS('案件台帳'!$C$6:$C$65,$A15,'案件台帳'!$E$6:$E$65,"&lt;="&amp;J$4,'案件台帳'!$F$6:$F$65,"&gt;="&amp;J$4)+COUNTIFS('案件台帳'!$C$6:$C$65,$A15,'案件台帳'!$E$6:$E$65,"",'案件台帳'!$F$6:$F$65,"&gt;="&amp;J$4)&gt;0,"■",""))</f>
        <v/>
      </c>
      <c r="K15" s="29">
        <f>IF($A15="","",IF(COUNTIFS('案件台帳'!$C$6:$C$65,$A15,'案件台帳'!$E$6:$E$65,"&lt;="&amp;K$4,'案件台帳'!$F$6:$F$65,"&gt;="&amp;K$4)+COUNTIFS('案件台帳'!$C$6:$C$65,$A15,'案件台帳'!$E$6:$E$65,"",'案件台帳'!$F$6:$F$65,"&gt;="&amp;K$4)&gt;0,"■",""))</f>
        <v/>
      </c>
      <c r="L15" s="29">
        <f>IF($A15="","",IF(COUNTIFS('案件台帳'!$C$6:$C$65,$A15,'案件台帳'!$E$6:$E$65,"&lt;="&amp;L$4,'案件台帳'!$F$6:$F$65,"&gt;="&amp;L$4)+COUNTIFS('案件台帳'!$C$6:$C$65,$A15,'案件台帳'!$E$6:$E$65,"",'案件台帳'!$F$6:$F$65,"&gt;="&amp;L$4)&gt;0,"■",""))</f>
        <v/>
      </c>
      <c r="M15" s="29">
        <f>IF($A15="","",IF(COUNTIFS('案件台帳'!$C$6:$C$65,$A15,'案件台帳'!$E$6:$E$65,"&lt;="&amp;M$4,'案件台帳'!$F$6:$F$65,"&gt;="&amp;M$4)+COUNTIFS('案件台帳'!$C$6:$C$65,$A15,'案件台帳'!$E$6:$E$65,"",'案件台帳'!$F$6:$F$65,"&gt;="&amp;M$4)&gt;0,"■",""))</f>
        <v/>
      </c>
      <c r="N15" s="29">
        <f>IF($A15="","",IF(COUNTIFS('案件台帳'!$C$6:$C$65,$A15,'案件台帳'!$E$6:$E$65,"&lt;="&amp;N$4,'案件台帳'!$F$6:$F$65,"&gt;="&amp;N$4)+COUNTIFS('案件台帳'!$C$6:$C$65,$A15,'案件台帳'!$E$6:$E$65,"",'案件台帳'!$F$6:$F$65,"&gt;="&amp;N$4)&gt;0,"■",""))</f>
        <v/>
      </c>
      <c r="O15" s="29">
        <f>IF($A15="","",IF(COUNTIFS('案件台帳'!$C$6:$C$65,$A15,'案件台帳'!$E$6:$E$65,"&lt;="&amp;O$4,'案件台帳'!$F$6:$F$65,"&gt;="&amp;O$4)+COUNTIFS('案件台帳'!$C$6:$C$65,$A15,'案件台帳'!$E$6:$E$65,"",'案件台帳'!$F$6:$F$65,"&gt;="&amp;O$4)&gt;0,"■",""))</f>
        <v/>
      </c>
      <c r="P15" s="29">
        <f>IF($A15="","",IF(COUNTIFS('案件台帳'!$C$6:$C$65,$A15,'案件台帳'!$E$6:$E$65,"&lt;="&amp;P$4,'案件台帳'!$F$6:$F$65,"&gt;="&amp;P$4)+COUNTIFS('案件台帳'!$C$6:$C$65,$A15,'案件台帳'!$E$6:$E$65,"",'案件台帳'!$F$6:$F$65,"&gt;="&amp;P$4)&gt;0,"■",""))</f>
        <v/>
      </c>
      <c r="Q15" s="29">
        <f>IF($A15="","",IF(COUNTIFS('案件台帳'!$C$6:$C$65,$A15,'案件台帳'!$E$6:$E$65,"&lt;="&amp;Q$4,'案件台帳'!$F$6:$F$65,"&gt;="&amp;Q$4)+COUNTIFS('案件台帳'!$C$6:$C$65,$A15,'案件台帳'!$E$6:$E$65,"",'案件台帳'!$F$6:$F$65,"&gt;="&amp;Q$4)&gt;0,"■",""))</f>
        <v/>
      </c>
      <c r="R15" s="29">
        <f>IF($A15="","",IF(COUNTIFS('案件台帳'!$C$6:$C$65,$A15,'案件台帳'!$E$6:$E$65,"&lt;="&amp;R$4,'案件台帳'!$F$6:$F$65,"&gt;="&amp;R$4)+COUNTIFS('案件台帳'!$C$6:$C$65,$A15,'案件台帳'!$E$6:$E$65,"",'案件台帳'!$F$6:$F$65,"&gt;="&amp;R$4)&gt;0,"■",""))</f>
        <v/>
      </c>
      <c r="S15" s="29">
        <f>IF($A15="","",IF(COUNTIFS('案件台帳'!$C$6:$C$65,$A15,'案件台帳'!$E$6:$E$65,"&lt;="&amp;S$4,'案件台帳'!$F$6:$F$65,"&gt;="&amp;S$4)+COUNTIFS('案件台帳'!$C$6:$C$65,$A15,'案件台帳'!$E$6:$E$65,"",'案件台帳'!$F$6:$F$65,"&gt;="&amp;S$4)&gt;0,"■",""))</f>
        <v/>
      </c>
      <c r="T15" s="29">
        <f>IF($A15="","",IF(COUNTIFS('案件台帳'!$C$6:$C$65,$A15,'案件台帳'!$E$6:$E$65,"&lt;="&amp;T$4,'案件台帳'!$F$6:$F$65,"&gt;="&amp;T$4)+COUNTIFS('案件台帳'!$C$6:$C$65,$A15,'案件台帳'!$E$6:$E$65,"",'案件台帳'!$F$6:$F$65,"&gt;="&amp;T$4)&gt;0,"■",""))</f>
        <v/>
      </c>
      <c r="U15" s="29">
        <f>IF($A15="","",IF(COUNTIFS('案件台帳'!$C$6:$C$65,$A15,'案件台帳'!$E$6:$E$65,"&lt;="&amp;U$4,'案件台帳'!$F$6:$F$65,"&gt;="&amp;U$4)+COUNTIFS('案件台帳'!$C$6:$C$65,$A15,'案件台帳'!$E$6:$E$65,"",'案件台帳'!$F$6:$F$65,"&gt;="&amp;U$4)&gt;0,"■",""))</f>
        <v/>
      </c>
      <c r="V15" s="29">
        <f>IF($A15="","",IF(COUNTIFS('案件台帳'!$C$6:$C$65,$A15,'案件台帳'!$E$6:$E$65,"&lt;="&amp;V$4,'案件台帳'!$F$6:$F$65,"&gt;="&amp;V$4)+COUNTIFS('案件台帳'!$C$6:$C$65,$A15,'案件台帳'!$E$6:$E$65,"",'案件台帳'!$F$6:$F$65,"&gt;="&amp;V$4)&gt;0,"■",""))</f>
        <v/>
      </c>
      <c r="W15" s="29">
        <f>IF($A15="","",IF(COUNTIFS('案件台帳'!$C$6:$C$65,$A15,'案件台帳'!$E$6:$E$65,"&lt;="&amp;W$4,'案件台帳'!$F$6:$F$65,"&gt;="&amp;W$4)+COUNTIFS('案件台帳'!$C$6:$C$65,$A15,'案件台帳'!$E$6:$E$65,"",'案件台帳'!$F$6:$F$65,"&gt;="&amp;W$4)&gt;0,"■",""))</f>
        <v/>
      </c>
      <c r="X15" s="29">
        <f>IF($A15="","",IF(COUNTIFS('案件台帳'!$C$6:$C$65,$A15,'案件台帳'!$E$6:$E$65,"&lt;="&amp;X$4,'案件台帳'!$F$6:$F$65,"&gt;="&amp;X$4)+COUNTIFS('案件台帳'!$C$6:$C$65,$A15,'案件台帳'!$E$6:$E$65,"",'案件台帳'!$F$6:$F$65,"&gt;="&amp;X$4)&gt;0,"■",""))</f>
        <v/>
      </c>
      <c r="Y15" s="29">
        <f>IF($A15="","",IF(COUNTIFS('案件台帳'!$C$6:$C$65,$A15,'案件台帳'!$E$6:$E$65,"&lt;="&amp;Y$4,'案件台帳'!$F$6:$F$65,"&gt;="&amp;Y$4)+COUNTIFS('案件台帳'!$C$6:$C$65,$A15,'案件台帳'!$E$6:$E$65,"",'案件台帳'!$F$6:$F$65,"&gt;="&amp;Y$4)&gt;0,"■",""))</f>
        <v/>
      </c>
      <c r="Z15" s="29">
        <f>IF($A15="","",IF(COUNTIFS('案件台帳'!$C$6:$C$65,$A15,'案件台帳'!$E$6:$E$65,"&lt;="&amp;Z$4,'案件台帳'!$F$6:$F$65,"&gt;="&amp;Z$4)+COUNTIFS('案件台帳'!$C$6:$C$65,$A15,'案件台帳'!$E$6:$E$65,"",'案件台帳'!$F$6:$F$65,"&gt;="&amp;Z$4)&gt;0,"■",""))</f>
        <v/>
      </c>
      <c r="AA15" s="29">
        <f>IF($A15="","",IF(COUNTIFS('案件台帳'!$C$6:$C$65,$A15,'案件台帳'!$E$6:$E$65,"&lt;="&amp;AA$4,'案件台帳'!$F$6:$F$65,"&gt;="&amp;AA$4)+COUNTIFS('案件台帳'!$C$6:$C$65,$A15,'案件台帳'!$E$6:$E$65,"",'案件台帳'!$F$6:$F$65,"&gt;="&amp;AA$4)&gt;0,"■",""))</f>
        <v/>
      </c>
      <c r="AB15" s="29">
        <f>IF($A15="","",IF(COUNTIFS('案件台帳'!$C$6:$C$65,$A15,'案件台帳'!$E$6:$E$65,"&lt;="&amp;AB$4,'案件台帳'!$F$6:$F$65,"&gt;="&amp;AB$4)+COUNTIFS('案件台帳'!$C$6:$C$65,$A15,'案件台帳'!$E$6:$E$65,"",'案件台帳'!$F$6:$F$65,"&gt;="&amp;AB$4)&gt;0,"■",""))</f>
        <v/>
      </c>
      <c r="AC15" s="29">
        <f>IF($A15="","",IF(COUNTIFS('案件台帳'!$C$6:$C$65,$A15,'案件台帳'!$E$6:$E$65,"&lt;="&amp;AC$4,'案件台帳'!$F$6:$F$65,"&gt;="&amp;AC$4)+COUNTIFS('案件台帳'!$C$6:$C$65,$A15,'案件台帳'!$E$6:$E$65,"",'案件台帳'!$F$6:$F$65,"&gt;="&amp;AC$4)&gt;0,"■",""))</f>
        <v/>
      </c>
      <c r="AD15" s="29">
        <f>IF($A15="","",IF(COUNTIFS('案件台帳'!$C$6:$C$65,$A15,'案件台帳'!$E$6:$E$65,"&lt;="&amp;AD$4,'案件台帳'!$F$6:$F$65,"&gt;="&amp;AD$4)+COUNTIFS('案件台帳'!$C$6:$C$65,$A15,'案件台帳'!$E$6:$E$65,"",'案件台帳'!$F$6:$F$65,"&gt;="&amp;AD$4)&gt;0,"■",""))</f>
        <v/>
      </c>
      <c r="AE15" s="29">
        <f>IF($A15="","",IF(COUNTIFS('案件台帳'!$C$6:$C$65,$A15,'案件台帳'!$E$6:$E$65,"&lt;="&amp;AE$4,'案件台帳'!$F$6:$F$65,"&gt;="&amp;AE$4)+COUNTIFS('案件台帳'!$C$6:$C$65,$A15,'案件台帳'!$E$6:$E$65,"",'案件台帳'!$F$6:$F$65,"&gt;="&amp;AE$4)&gt;0,"■",""))</f>
        <v/>
      </c>
      <c r="AF15" s="29">
        <f>IF($A15="","",IF(COUNTIFS('案件台帳'!$C$6:$C$65,$A15,'案件台帳'!$E$6:$E$65,"&lt;="&amp;AF$4,'案件台帳'!$F$6:$F$65,"&gt;="&amp;AF$4)+COUNTIFS('案件台帳'!$C$6:$C$65,$A15,'案件台帳'!$E$6:$E$65,"",'案件台帳'!$F$6:$F$65,"&gt;="&amp;AF$4)&gt;0,"■",""))</f>
        <v/>
      </c>
      <c r="AG15" s="29">
        <f>IF($A15="","",IF(COUNTIFS('案件台帳'!$C$6:$C$65,$A15,'案件台帳'!$E$6:$E$65,"&lt;="&amp;AG$4,'案件台帳'!$F$6:$F$65,"&gt;="&amp;AG$4)+COUNTIFS('案件台帳'!$C$6:$C$65,$A15,'案件台帳'!$E$6:$E$65,"",'案件台帳'!$F$6:$F$65,"&gt;="&amp;AG$4)&gt;0,"■",""))</f>
        <v/>
      </c>
      <c r="AH15" s="29">
        <f>IF($A15="","",IF(COUNTIFS('案件台帳'!$C$6:$C$65,$A15,'案件台帳'!$E$6:$E$65,"&lt;="&amp;AH$4,'案件台帳'!$F$6:$F$65,"&gt;="&amp;AH$4)+COUNTIFS('案件台帳'!$C$6:$C$65,$A15,'案件台帳'!$E$6:$E$65,"",'案件台帳'!$F$6:$F$65,"&gt;="&amp;AH$4)&gt;0,"■",""))</f>
        <v/>
      </c>
      <c r="AI15" s="29">
        <f>IF($A15="","",IF(COUNTIFS('案件台帳'!$C$6:$C$65,$A15,'案件台帳'!$E$6:$E$65,"&lt;="&amp;AI$4,'案件台帳'!$F$6:$F$65,"&gt;="&amp;AI$4)+COUNTIFS('案件台帳'!$C$6:$C$65,$A15,'案件台帳'!$E$6:$E$65,"",'案件台帳'!$F$6:$F$65,"&gt;="&amp;AI$4)&gt;0,"■",""))</f>
        <v/>
      </c>
      <c r="AJ15" s="29">
        <f>IF($A15="","",IF(COUNTIFS('案件台帳'!$C$6:$C$65,$A15,'案件台帳'!$E$6:$E$65,"&lt;="&amp;AJ$4,'案件台帳'!$F$6:$F$65,"&gt;="&amp;AJ$4)+COUNTIFS('案件台帳'!$C$6:$C$65,$A15,'案件台帳'!$E$6:$E$65,"",'案件台帳'!$F$6:$F$65,"&gt;="&amp;AJ$4)&gt;0,"■",""))</f>
        <v/>
      </c>
      <c r="AK15" s="29">
        <f>IF($A15="","",IF(COUNTIFS('案件台帳'!$C$6:$C$65,$A15,'案件台帳'!$E$6:$E$65,"&lt;="&amp;AK$4,'案件台帳'!$F$6:$F$65,"&gt;="&amp;AK$4)+COUNTIFS('案件台帳'!$C$6:$C$65,$A15,'案件台帳'!$E$6:$E$65,"",'案件台帳'!$F$6:$F$65,"&gt;="&amp;AK$4)&gt;0,"■",""))</f>
        <v/>
      </c>
      <c r="AL15" s="29">
        <f>IF($A15="","",IF(COUNTIFS('案件台帳'!$C$6:$C$65,$A15,'案件台帳'!$E$6:$E$65,"&lt;="&amp;AL$4,'案件台帳'!$F$6:$F$65,"&gt;="&amp;AL$4)+COUNTIFS('案件台帳'!$C$6:$C$65,$A15,'案件台帳'!$E$6:$E$65,"",'案件台帳'!$F$6:$F$65,"&gt;="&amp;AL$4)&gt;0,"■",""))</f>
        <v/>
      </c>
      <c r="AM15" s="29">
        <f>IF($A15="","",IF(COUNTIFS('案件台帳'!$C$6:$C$65,$A15,'案件台帳'!$E$6:$E$65,"&lt;="&amp;AM$4,'案件台帳'!$F$6:$F$65,"&gt;="&amp;AM$4)+COUNTIFS('案件台帳'!$C$6:$C$65,$A15,'案件台帳'!$E$6:$E$65,"",'案件台帳'!$F$6:$F$65,"&gt;="&amp;AM$4)&gt;0,"■",""))</f>
        <v/>
      </c>
      <c r="AN15" s="29">
        <f>IF($A15="","",IF(COUNTIFS('案件台帳'!$C$6:$C$65,$A15,'案件台帳'!$E$6:$E$65,"&lt;="&amp;AN$4,'案件台帳'!$F$6:$F$65,"&gt;="&amp;AN$4)+COUNTIFS('案件台帳'!$C$6:$C$65,$A15,'案件台帳'!$E$6:$E$65,"",'案件台帳'!$F$6:$F$65,"&gt;="&amp;AN$4)&gt;0,"■",""))</f>
        <v/>
      </c>
      <c r="AO15" s="29">
        <f>IF($A15="","",IF(COUNTIFS('案件台帳'!$C$6:$C$65,$A15,'案件台帳'!$E$6:$E$65,"&lt;="&amp;AO$4,'案件台帳'!$F$6:$F$65,"&gt;="&amp;AO$4)+COUNTIFS('案件台帳'!$C$6:$C$65,$A15,'案件台帳'!$E$6:$E$65,"",'案件台帳'!$F$6:$F$65,"&gt;="&amp;AO$4)&gt;0,"■",""))</f>
        <v/>
      </c>
      <c r="AP15" s="29">
        <f>IF($A15="","",IF(COUNTIFS('案件台帳'!$C$6:$C$65,$A15,'案件台帳'!$E$6:$E$65,"&lt;="&amp;AP$4,'案件台帳'!$F$6:$F$65,"&gt;="&amp;AP$4)+COUNTIFS('案件台帳'!$C$6:$C$65,$A15,'案件台帳'!$E$6:$E$65,"",'案件台帳'!$F$6:$F$65,"&gt;="&amp;AP$4)&gt;0,"■",""))</f>
        <v/>
      </c>
      <c r="AQ15" s="29">
        <f>IF($A15="","",IF(COUNTIFS('案件台帳'!$C$6:$C$65,$A15,'案件台帳'!$E$6:$E$65,"&lt;="&amp;AQ$4,'案件台帳'!$F$6:$F$65,"&gt;="&amp;AQ$4)+COUNTIFS('案件台帳'!$C$6:$C$65,$A15,'案件台帳'!$E$6:$E$65,"",'案件台帳'!$F$6:$F$65,"&gt;="&amp;AQ$4)&gt;0,"■",""))</f>
        <v/>
      </c>
      <c r="AR15" s="29">
        <f>IF($A15="","",IF(COUNTIFS('案件台帳'!$C$6:$C$65,$A15,'案件台帳'!$E$6:$E$65,"&lt;="&amp;AR$4,'案件台帳'!$F$6:$F$65,"&gt;="&amp;AR$4)+COUNTIFS('案件台帳'!$C$6:$C$65,$A15,'案件台帳'!$E$6:$E$65,"",'案件台帳'!$F$6:$F$65,"&gt;="&amp;AR$4)&gt;0,"■",""))</f>
        <v/>
      </c>
      <c r="AS15" s="29">
        <f>IF($A15="","",IF(COUNTIFS('案件台帳'!$C$6:$C$65,$A15,'案件台帳'!$E$6:$E$65,"&lt;="&amp;AS$4,'案件台帳'!$F$6:$F$65,"&gt;="&amp;AS$4)+COUNTIFS('案件台帳'!$C$6:$C$65,$A15,'案件台帳'!$E$6:$E$65,"",'案件台帳'!$F$6:$F$65,"&gt;="&amp;AS$4)&gt;0,"■",""))</f>
        <v/>
      </c>
      <c r="AT15" s="29">
        <f>IF($A15="","",IF(COUNTIFS('案件台帳'!$C$6:$C$65,$A15,'案件台帳'!$E$6:$E$65,"&lt;="&amp;AT$4,'案件台帳'!$F$6:$F$65,"&gt;="&amp;AT$4)+COUNTIFS('案件台帳'!$C$6:$C$65,$A15,'案件台帳'!$E$6:$E$65,"",'案件台帳'!$F$6:$F$65,"&gt;="&amp;AT$4)&gt;0,"■",""))</f>
        <v/>
      </c>
      <c r="AU15" s="29">
        <f>IF($A15="","",IF(COUNTIFS('案件台帳'!$C$6:$C$65,$A15,'案件台帳'!$E$6:$E$65,"&lt;="&amp;AU$4,'案件台帳'!$F$6:$F$65,"&gt;="&amp;AU$4)+COUNTIFS('案件台帳'!$C$6:$C$65,$A15,'案件台帳'!$E$6:$E$65,"",'案件台帳'!$F$6:$F$65,"&gt;="&amp;AU$4)&gt;0,"■",""))</f>
        <v/>
      </c>
      <c r="AV15" s="29">
        <f>IF($A15="","",IF(COUNTIFS('案件台帳'!$C$6:$C$65,$A15,'案件台帳'!$E$6:$E$65,"&lt;="&amp;AV$4,'案件台帳'!$F$6:$F$65,"&gt;="&amp;AV$4)+COUNTIFS('案件台帳'!$C$6:$C$65,$A15,'案件台帳'!$E$6:$E$65,"",'案件台帳'!$F$6:$F$65,"&gt;="&amp;AV$4)&gt;0,"■",""))</f>
        <v/>
      </c>
      <c r="AW15" s="29">
        <f>IF($A15="","",IF(COUNTIFS('案件台帳'!$C$6:$C$65,$A15,'案件台帳'!$E$6:$E$65,"&lt;="&amp;AW$4,'案件台帳'!$F$6:$F$65,"&gt;="&amp;AW$4)+COUNTIFS('案件台帳'!$C$6:$C$65,$A15,'案件台帳'!$E$6:$E$65,"",'案件台帳'!$F$6:$F$65,"&gt;="&amp;AW$4)&gt;0,"■",""))</f>
        <v/>
      </c>
      <c r="AX15" s="29">
        <f>IF($A15="","",IF(COUNTIFS('案件台帳'!$C$6:$C$65,$A15,'案件台帳'!$E$6:$E$65,"&lt;="&amp;AX$4,'案件台帳'!$F$6:$F$65,"&gt;="&amp;AX$4)+COUNTIFS('案件台帳'!$C$6:$C$65,$A15,'案件台帳'!$E$6:$E$65,"",'案件台帳'!$F$6:$F$65,"&gt;="&amp;AX$4)&gt;0,"■",""))</f>
        <v/>
      </c>
      <c r="AY15" s="29">
        <f>IF($A15="","",IF(COUNTIFS('案件台帳'!$C$6:$C$65,$A15,'案件台帳'!$E$6:$E$65,"&lt;="&amp;AY$4,'案件台帳'!$F$6:$F$65,"&gt;="&amp;AY$4)+COUNTIFS('案件台帳'!$C$6:$C$65,$A15,'案件台帳'!$E$6:$E$65,"",'案件台帳'!$F$6:$F$65,"&gt;="&amp;AY$4)&gt;0,"■",""))</f>
        <v/>
      </c>
      <c r="AZ15" s="29">
        <f>IF($A15="","",IF(COUNTIFS('案件台帳'!$C$6:$C$65,$A15,'案件台帳'!$E$6:$E$65,"&lt;="&amp;AZ$4,'案件台帳'!$F$6:$F$65,"&gt;="&amp;AZ$4)+COUNTIFS('案件台帳'!$C$6:$C$65,$A15,'案件台帳'!$E$6:$E$65,"",'案件台帳'!$F$6:$F$65,"&gt;="&amp;AZ$4)&gt;0,"■",""))</f>
        <v/>
      </c>
      <c r="BA15" s="29">
        <f>IF($A15="","",IF(COUNTIFS('案件台帳'!$C$6:$C$65,$A15,'案件台帳'!$E$6:$E$65,"&lt;="&amp;BA$4,'案件台帳'!$F$6:$F$65,"&gt;="&amp;BA$4)+COUNTIFS('案件台帳'!$C$6:$C$65,$A15,'案件台帳'!$E$6:$E$65,"",'案件台帳'!$F$6:$F$65,"&gt;="&amp;BA$4)&gt;0,"■",""))</f>
        <v/>
      </c>
      <c r="BB15" s="29">
        <f>IF($A15="","",IF(COUNTIFS('案件台帳'!$C$6:$C$65,$A15,'案件台帳'!$E$6:$E$65,"&lt;="&amp;BB$4,'案件台帳'!$F$6:$F$65,"&gt;="&amp;BB$4)+COUNTIFS('案件台帳'!$C$6:$C$65,$A15,'案件台帳'!$E$6:$E$65,"",'案件台帳'!$F$6:$F$65,"&gt;="&amp;BB$4)&gt;0,"■",""))</f>
        <v/>
      </c>
      <c r="BC15" s="29">
        <f>IF($A15="","",IF(COUNTIFS('案件台帳'!$C$6:$C$65,$A15,'案件台帳'!$E$6:$E$65,"&lt;="&amp;BC$4,'案件台帳'!$F$6:$F$65,"&gt;="&amp;BC$4)+COUNTIFS('案件台帳'!$C$6:$C$65,$A15,'案件台帳'!$E$6:$E$65,"",'案件台帳'!$F$6:$F$65,"&gt;="&amp;BC$4)&gt;0,"■",""))</f>
        <v/>
      </c>
      <c r="BD15" s="29">
        <f>IF($A15="","",IF(COUNTIFS('案件台帳'!$C$6:$C$65,$A15,'案件台帳'!$E$6:$E$65,"&lt;="&amp;BD$4,'案件台帳'!$F$6:$F$65,"&gt;="&amp;BD$4)+COUNTIFS('案件台帳'!$C$6:$C$65,$A15,'案件台帳'!$E$6:$E$65,"",'案件台帳'!$F$6:$F$65,"&gt;="&amp;BD$4)&gt;0,"■",""))</f>
        <v/>
      </c>
      <c r="BE15" s="29">
        <f>IF($A15="","",IF(COUNTIFS('案件台帳'!$C$6:$C$65,$A15,'案件台帳'!$E$6:$E$65,"&lt;="&amp;BE$4,'案件台帳'!$F$6:$F$65,"&gt;="&amp;BE$4)+COUNTIFS('案件台帳'!$C$6:$C$65,$A15,'案件台帳'!$E$6:$E$65,"",'案件台帳'!$F$6:$F$65,"&gt;="&amp;BE$4)&gt;0,"■",""))</f>
        <v/>
      </c>
      <c r="BF15" s="29">
        <f>IF($A15="","",IF(COUNTIFS('案件台帳'!$C$6:$C$65,$A15,'案件台帳'!$E$6:$E$65,"&lt;="&amp;BF$4,'案件台帳'!$F$6:$F$65,"&gt;="&amp;BF$4)+COUNTIFS('案件台帳'!$C$6:$C$65,$A15,'案件台帳'!$E$6:$E$65,"",'案件台帳'!$F$6:$F$65,"&gt;="&amp;BF$4)&gt;0,"■",""))</f>
        <v/>
      </c>
      <c r="BG15" s="29">
        <f>IF($A15="","",IF(COUNTIFS('案件台帳'!$C$6:$C$65,$A15,'案件台帳'!$E$6:$E$65,"&lt;="&amp;BG$4,'案件台帳'!$F$6:$F$65,"&gt;="&amp;BG$4)+COUNTIFS('案件台帳'!$C$6:$C$65,$A15,'案件台帳'!$E$6:$E$65,"",'案件台帳'!$F$6:$F$65,"&gt;="&amp;BG$4)&gt;0,"■",""))</f>
        <v/>
      </c>
      <c r="BH15" s="29">
        <f>IF($A15="","",IF(COUNTIFS('案件台帳'!$C$6:$C$65,$A15,'案件台帳'!$E$6:$E$65,"&lt;="&amp;BH$4,'案件台帳'!$F$6:$F$65,"&gt;="&amp;BH$4)+COUNTIFS('案件台帳'!$C$6:$C$65,$A15,'案件台帳'!$E$6:$E$65,"",'案件台帳'!$F$6:$F$65,"&gt;="&amp;BH$4)&gt;0,"■",""))</f>
        <v/>
      </c>
      <c r="BI15" s="29">
        <f>IF($A15="","",IF(COUNTIFS('案件台帳'!$C$6:$C$65,$A15,'案件台帳'!$E$6:$E$65,"&lt;="&amp;BI$4,'案件台帳'!$F$6:$F$65,"&gt;="&amp;BI$4)+COUNTIFS('案件台帳'!$C$6:$C$65,$A15,'案件台帳'!$E$6:$E$65,"",'案件台帳'!$F$6:$F$65,"&gt;="&amp;BI$4)&gt;0,"■",""))</f>
        <v/>
      </c>
      <c r="BJ15" s="29">
        <f>IF($A15="","",IF(COUNTIFS('案件台帳'!$C$6:$C$65,$A15,'案件台帳'!$E$6:$E$65,"&lt;="&amp;BJ$4,'案件台帳'!$F$6:$F$65,"&gt;="&amp;BJ$4)+COUNTIFS('案件台帳'!$C$6:$C$65,$A15,'案件台帳'!$E$6:$E$65,"",'案件台帳'!$F$6:$F$65,"&gt;="&amp;BJ$4)&gt;0,"■",""))</f>
        <v/>
      </c>
      <c r="BK15" s="29">
        <f>IF($A15="","",IF(COUNTIFS('案件台帳'!$C$6:$C$65,$A15,'案件台帳'!$E$6:$E$65,"&lt;="&amp;BK$4,'案件台帳'!$F$6:$F$65,"&gt;="&amp;BK$4)+COUNTIFS('案件台帳'!$C$6:$C$65,$A15,'案件台帳'!$E$6:$E$65,"",'案件台帳'!$F$6:$F$65,"&gt;="&amp;BK$4)&gt;0,"■",""))</f>
        <v/>
      </c>
      <c r="BL15" s="29">
        <f>IF($A15="","",IF(COUNTIFS('案件台帳'!$C$6:$C$65,$A15,'案件台帳'!$E$6:$E$65,"&lt;="&amp;BL$4,'案件台帳'!$F$6:$F$65,"&gt;="&amp;BL$4)+COUNTIFS('案件台帳'!$C$6:$C$65,$A15,'案件台帳'!$E$6:$E$65,"",'案件台帳'!$F$6:$F$65,"&gt;="&amp;BL$4)&gt;0,"■",""))</f>
        <v/>
      </c>
    </row>
    <row r="16">
      <c r="A16" s="30" t="inlineStr">
        <is>
          <t>空き人数</t>
        </is>
      </c>
      <c r="B16" s="31">
        <f>COUNTA($A$6:$A$15)-COUNTBLANK($A$6:$A$15)-COUNTIF(B$6:B$15,"■")</f>
        <v/>
      </c>
      <c r="C16" s="31">
        <f>COUNTA($A$6:$A$15)-COUNTBLANK($A$6:$A$15)-COUNTIF(C$6:C$15,"■")</f>
        <v/>
      </c>
      <c r="D16" s="31">
        <f>COUNTA($A$6:$A$15)-COUNTBLANK($A$6:$A$15)-COUNTIF(D$6:D$15,"■")</f>
        <v/>
      </c>
      <c r="E16" s="31">
        <f>COUNTA($A$6:$A$15)-COUNTBLANK($A$6:$A$15)-COUNTIF(E$6:E$15,"■")</f>
        <v/>
      </c>
      <c r="F16" s="31">
        <f>COUNTA($A$6:$A$15)-COUNTBLANK($A$6:$A$15)-COUNTIF(F$6:F$15,"■")</f>
        <v/>
      </c>
      <c r="G16" s="31">
        <f>COUNTA($A$6:$A$15)-COUNTBLANK($A$6:$A$15)-COUNTIF(G$6:G$15,"■")</f>
        <v/>
      </c>
      <c r="H16" s="31">
        <f>COUNTA($A$6:$A$15)-COUNTBLANK($A$6:$A$15)-COUNTIF(H$6:H$15,"■")</f>
        <v/>
      </c>
      <c r="I16" s="31">
        <f>COUNTA($A$6:$A$15)-COUNTBLANK($A$6:$A$15)-COUNTIF(I$6:I$15,"■")</f>
        <v/>
      </c>
      <c r="J16" s="31">
        <f>COUNTA($A$6:$A$15)-COUNTBLANK($A$6:$A$15)-COUNTIF(J$6:J$15,"■")</f>
        <v/>
      </c>
      <c r="K16" s="31">
        <f>COUNTA($A$6:$A$15)-COUNTBLANK($A$6:$A$15)-COUNTIF(K$6:K$15,"■")</f>
        <v/>
      </c>
      <c r="L16" s="31">
        <f>COUNTA($A$6:$A$15)-COUNTBLANK($A$6:$A$15)-COUNTIF(L$6:L$15,"■")</f>
        <v/>
      </c>
      <c r="M16" s="31">
        <f>COUNTA($A$6:$A$15)-COUNTBLANK($A$6:$A$15)-COUNTIF(M$6:M$15,"■")</f>
        <v/>
      </c>
      <c r="N16" s="31">
        <f>COUNTA($A$6:$A$15)-COUNTBLANK($A$6:$A$15)-COUNTIF(N$6:N$15,"■")</f>
        <v/>
      </c>
      <c r="O16" s="31">
        <f>COUNTA($A$6:$A$15)-COUNTBLANK($A$6:$A$15)-COUNTIF(O$6:O$15,"■")</f>
        <v/>
      </c>
      <c r="P16" s="31">
        <f>COUNTA($A$6:$A$15)-COUNTBLANK($A$6:$A$15)-COUNTIF(P$6:P$15,"■")</f>
        <v/>
      </c>
      <c r="Q16" s="31">
        <f>COUNTA($A$6:$A$15)-COUNTBLANK($A$6:$A$15)-COUNTIF(Q$6:Q$15,"■")</f>
        <v/>
      </c>
      <c r="R16" s="31">
        <f>COUNTA($A$6:$A$15)-COUNTBLANK($A$6:$A$15)-COUNTIF(R$6:R$15,"■")</f>
        <v/>
      </c>
      <c r="S16" s="31">
        <f>COUNTA($A$6:$A$15)-COUNTBLANK($A$6:$A$15)-COUNTIF(S$6:S$15,"■")</f>
        <v/>
      </c>
      <c r="T16" s="31">
        <f>COUNTA($A$6:$A$15)-COUNTBLANK($A$6:$A$15)-COUNTIF(T$6:T$15,"■")</f>
        <v/>
      </c>
      <c r="U16" s="31">
        <f>COUNTA($A$6:$A$15)-COUNTBLANK($A$6:$A$15)-COUNTIF(U$6:U$15,"■")</f>
        <v/>
      </c>
      <c r="V16" s="31">
        <f>COUNTA($A$6:$A$15)-COUNTBLANK($A$6:$A$15)-COUNTIF(V$6:V$15,"■")</f>
        <v/>
      </c>
      <c r="W16" s="31">
        <f>COUNTA($A$6:$A$15)-COUNTBLANK($A$6:$A$15)-COUNTIF(W$6:W$15,"■")</f>
        <v/>
      </c>
      <c r="X16" s="31">
        <f>COUNTA($A$6:$A$15)-COUNTBLANK($A$6:$A$15)-COUNTIF(X$6:X$15,"■")</f>
        <v/>
      </c>
      <c r="Y16" s="31">
        <f>COUNTA($A$6:$A$15)-COUNTBLANK($A$6:$A$15)-COUNTIF(Y$6:Y$15,"■")</f>
        <v/>
      </c>
      <c r="Z16" s="31">
        <f>COUNTA($A$6:$A$15)-COUNTBLANK($A$6:$A$15)-COUNTIF(Z$6:Z$15,"■")</f>
        <v/>
      </c>
      <c r="AA16" s="31">
        <f>COUNTA($A$6:$A$15)-COUNTBLANK($A$6:$A$15)-COUNTIF(AA$6:AA$15,"■")</f>
        <v/>
      </c>
      <c r="AB16" s="31">
        <f>COUNTA($A$6:$A$15)-COUNTBLANK($A$6:$A$15)-COUNTIF(AB$6:AB$15,"■")</f>
        <v/>
      </c>
      <c r="AC16" s="31">
        <f>COUNTA($A$6:$A$15)-COUNTBLANK($A$6:$A$15)-COUNTIF(AC$6:AC$15,"■")</f>
        <v/>
      </c>
      <c r="AD16" s="31">
        <f>COUNTA($A$6:$A$15)-COUNTBLANK($A$6:$A$15)-COUNTIF(AD$6:AD$15,"■")</f>
        <v/>
      </c>
      <c r="AE16" s="31">
        <f>COUNTA($A$6:$A$15)-COUNTBLANK($A$6:$A$15)-COUNTIF(AE$6:AE$15,"■")</f>
        <v/>
      </c>
      <c r="AF16" s="31">
        <f>COUNTA($A$6:$A$15)-COUNTBLANK($A$6:$A$15)-COUNTIF(AF$6:AF$15,"■")</f>
        <v/>
      </c>
      <c r="AG16" s="31">
        <f>COUNTA($A$6:$A$15)-COUNTBLANK($A$6:$A$15)-COUNTIF(AG$6:AG$15,"■")</f>
        <v/>
      </c>
      <c r="AH16" s="31">
        <f>COUNTA($A$6:$A$15)-COUNTBLANK($A$6:$A$15)-COUNTIF(AH$6:AH$15,"■")</f>
        <v/>
      </c>
      <c r="AI16" s="31">
        <f>COUNTA($A$6:$A$15)-COUNTBLANK($A$6:$A$15)-COUNTIF(AI$6:AI$15,"■")</f>
        <v/>
      </c>
      <c r="AJ16" s="31">
        <f>COUNTA($A$6:$A$15)-COUNTBLANK($A$6:$A$15)-COUNTIF(AJ$6:AJ$15,"■")</f>
        <v/>
      </c>
      <c r="AK16" s="31">
        <f>COUNTA($A$6:$A$15)-COUNTBLANK($A$6:$A$15)-COUNTIF(AK$6:AK$15,"■")</f>
        <v/>
      </c>
      <c r="AL16" s="31">
        <f>COUNTA($A$6:$A$15)-COUNTBLANK($A$6:$A$15)-COUNTIF(AL$6:AL$15,"■")</f>
        <v/>
      </c>
      <c r="AM16" s="31">
        <f>COUNTA($A$6:$A$15)-COUNTBLANK($A$6:$A$15)-COUNTIF(AM$6:AM$15,"■")</f>
        <v/>
      </c>
      <c r="AN16" s="31">
        <f>COUNTA($A$6:$A$15)-COUNTBLANK($A$6:$A$15)-COUNTIF(AN$6:AN$15,"■")</f>
        <v/>
      </c>
      <c r="AO16" s="31">
        <f>COUNTA($A$6:$A$15)-COUNTBLANK($A$6:$A$15)-COUNTIF(AO$6:AO$15,"■")</f>
        <v/>
      </c>
      <c r="AP16" s="31">
        <f>COUNTA($A$6:$A$15)-COUNTBLANK($A$6:$A$15)-COUNTIF(AP$6:AP$15,"■")</f>
        <v/>
      </c>
      <c r="AQ16" s="31">
        <f>COUNTA($A$6:$A$15)-COUNTBLANK($A$6:$A$15)-COUNTIF(AQ$6:AQ$15,"■")</f>
        <v/>
      </c>
      <c r="AR16" s="31">
        <f>COUNTA($A$6:$A$15)-COUNTBLANK($A$6:$A$15)-COUNTIF(AR$6:AR$15,"■")</f>
        <v/>
      </c>
      <c r="AS16" s="31">
        <f>COUNTA($A$6:$A$15)-COUNTBLANK($A$6:$A$15)-COUNTIF(AS$6:AS$15,"■")</f>
        <v/>
      </c>
      <c r="AT16" s="31">
        <f>COUNTA($A$6:$A$15)-COUNTBLANK($A$6:$A$15)-COUNTIF(AT$6:AT$15,"■")</f>
        <v/>
      </c>
      <c r="AU16" s="31">
        <f>COUNTA($A$6:$A$15)-COUNTBLANK($A$6:$A$15)-COUNTIF(AU$6:AU$15,"■")</f>
        <v/>
      </c>
      <c r="AV16" s="31">
        <f>COUNTA($A$6:$A$15)-COUNTBLANK($A$6:$A$15)-COUNTIF(AV$6:AV$15,"■")</f>
        <v/>
      </c>
      <c r="AW16" s="31">
        <f>COUNTA($A$6:$A$15)-COUNTBLANK($A$6:$A$15)-COUNTIF(AW$6:AW$15,"■")</f>
        <v/>
      </c>
      <c r="AX16" s="31">
        <f>COUNTA($A$6:$A$15)-COUNTBLANK($A$6:$A$15)-COUNTIF(AX$6:AX$15,"■")</f>
        <v/>
      </c>
      <c r="AY16" s="31">
        <f>COUNTA($A$6:$A$15)-COUNTBLANK($A$6:$A$15)-COUNTIF(AY$6:AY$15,"■")</f>
        <v/>
      </c>
      <c r="AZ16" s="31">
        <f>COUNTA($A$6:$A$15)-COUNTBLANK($A$6:$A$15)-COUNTIF(AZ$6:AZ$15,"■")</f>
        <v/>
      </c>
      <c r="BA16" s="31">
        <f>COUNTA($A$6:$A$15)-COUNTBLANK($A$6:$A$15)-COUNTIF(BA$6:BA$15,"■")</f>
        <v/>
      </c>
      <c r="BB16" s="31">
        <f>COUNTA($A$6:$A$15)-COUNTBLANK($A$6:$A$15)-COUNTIF(BB$6:BB$15,"■")</f>
        <v/>
      </c>
      <c r="BC16" s="31">
        <f>COUNTA($A$6:$A$15)-COUNTBLANK($A$6:$A$15)-COUNTIF(BC$6:BC$15,"■")</f>
        <v/>
      </c>
      <c r="BD16" s="31">
        <f>COUNTA($A$6:$A$15)-COUNTBLANK($A$6:$A$15)-COUNTIF(BD$6:BD$15,"■")</f>
        <v/>
      </c>
      <c r="BE16" s="31">
        <f>COUNTA($A$6:$A$15)-COUNTBLANK($A$6:$A$15)-COUNTIF(BE$6:BE$15,"■")</f>
        <v/>
      </c>
      <c r="BF16" s="31">
        <f>COUNTA($A$6:$A$15)-COUNTBLANK($A$6:$A$15)-COUNTIF(BF$6:BF$15,"■")</f>
        <v/>
      </c>
      <c r="BG16" s="31">
        <f>COUNTA($A$6:$A$15)-COUNTBLANK($A$6:$A$15)-COUNTIF(BG$6:BG$15,"■")</f>
        <v/>
      </c>
      <c r="BH16" s="31">
        <f>COUNTA($A$6:$A$15)-COUNTBLANK($A$6:$A$15)-COUNTIF(BH$6:BH$15,"■")</f>
        <v/>
      </c>
      <c r="BI16" s="31">
        <f>COUNTA($A$6:$A$15)-COUNTBLANK($A$6:$A$15)-COUNTIF(BI$6:BI$15,"■")</f>
        <v/>
      </c>
      <c r="BJ16" s="31">
        <f>COUNTA($A$6:$A$15)-COUNTBLANK($A$6:$A$15)-COUNTIF(BJ$6:BJ$15,"■")</f>
        <v/>
      </c>
      <c r="BK16" s="31">
        <f>COUNTA($A$6:$A$15)-COUNTBLANK($A$6:$A$15)-COUNTIF(BK$6:BK$15,"■")</f>
        <v/>
      </c>
      <c r="BL16" s="31">
        <f>COUNTA($A$6:$A$15)-COUNTBLANK($A$6:$A$15)-COUNTIF(BL$6:BL$15,"■")</f>
        <v/>
      </c>
    </row>
    <row r="18">
      <c r="A18" s="7" t="inlineStr">
        <is>
          <t>凡例： ■（青）＝その日は現場に入っている ／ 黄色の空白＝空き ／ 最下段「空き人数」＝その日に手が空いている職人の人数。</t>
        </is>
      </c>
    </row>
    <row r="19">
      <c r="A19" s="7" t="inlineStr">
        <is>
          <t>※ 終了予定日が未入力の案件はカレンダーに出ません（例：三栄港運（潮見）は開始日8/25のみ判明のため未表示）。案件台帳の「状況」列が「要確認」の行を埋めると正しく塗られます。</t>
        </is>
      </c>
    </row>
    <row r="20">
      <c r="A20" s="7" t="inlineStr">
        <is>
          <t>※ 開始日が未入力でも終了予定日が入っていれば、基準日からその日まで稼働として塗ります（例：松田の一条（菅野様邸））。</t>
        </is>
      </c>
    </row>
  </sheetData>
  <conditionalFormatting sqref="B6:BL15">
    <cfRule type="expression" priority="1" dxfId="6">
      <formula>B6="■"</formula>
    </cfRule>
    <cfRule type="expression" priority="2" dxfId="3">
      <formula>AND($A6&lt;&gt;"",B6="")</formula>
    </cfRule>
  </conditionalFormatting>
  <conditionalFormatting sqref="B5:BL5">
    <cfRule type="expression" priority="3" dxfId="7">
      <formula>OR(B$5="土",B$5="日")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2026-08-19T07:33:03Z</dcterms:created>
  <dcterms:modified xsi:type="dcterms:W3CDTF">2026-08-19T07:33:03Z</dcterms:modified>
</cp:coreProperties>
</file>